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 Set" sheetId="1" state="visible" r:id="rId3"/>
    <sheet name="Metric Rubric" sheetId="2" state="visible" r:id="rId4"/>
    <sheet name="Results Summary"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<sst xmlns="http://schemas.openxmlformats.org/spreadsheetml/2006/main" count="676" uniqueCount="404">
  <si>
    <t xml:space="preserve">#</t>
  </si>
  <si>
    <t xml:space="preserve">Week</t>
  </si>
  <si>
    <t xml:space="preserve">Difficulty</t>
  </si>
  <si>
    <t xml:space="preserve">Topic</t>
  </si>
  <si>
    <t xml:space="preserve">Question</t>
  </si>
  <si>
    <t xml:space="preserve">Must Include (key concepts)</t>
  </si>
  <si>
    <t xml:space="preserve">Prereq Should Fire?</t>
  </si>
  <si>
    <t xml:space="preserve">System Answer (paste)</t>
  </si>
  <si>
    <t xml:space="preserve">M1: Correctness (1-5)</t>
  </si>
  <si>
    <t xml:space="preserve">M2: Faithfulness (1-5)</t>
  </si>
  <si>
    <t xml:space="preserve">M3: Answer Relevance (1-5)</t>
  </si>
  <si>
    <t xml:space="preserve">M4: Context Relevance (1-5)</t>
  </si>
  <si>
    <t xml:space="preserve">M5: Latency (s)</t>
  </si>
  <si>
    <t xml:space="preserve">Confidence Band</t>
  </si>
  <si>
    <t xml:space="preserve">Prereq Fired? (Y/N)</t>
  </si>
  <si>
    <t xml:space="preserve">Notes / Failure mode</t>
  </si>
  <si>
    <t xml:space="preserve">Retrieved Context (chunks)</t>
  </si>
  <si>
    <t xml:space="preserve">Signal 1 (band | mean dist)</t>
  </si>
  <si>
    <t xml:space="preserve">Signal 2 (verify 1-3)</t>
  </si>
  <si>
    <t xml:space="preserve">Week 1</t>
  </si>
  <si>
    <t xml:space="preserve">Easy</t>
  </si>
  <si>
    <t xml:space="preserve">CIA Triad</t>
  </si>
  <si>
    <t xml:space="preserve">What does the CIA triad stand for in network security?</t>
  </si>
  <si>
    <t xml:space="preserve">Confidentiality, Integrity, Availability</t>
  </si>
  <si>
    <t xml:space="preserve">No</t>
  </si>
  <si>
    <t xml:space="preserve">The CIA triad is a shorthand for the three core security properties that most network‑level security mechanisms aim to protect:
- **C**onfidentiality – ensuring that data are not disclosed to unauthorized parties.  
- **I**ntegrity – ensuring that data are not altered or corrupted without authorization.  
- **A**vailability – ensuring that legitimate users can access resources and services when needed.
These three principles are the basis for defining security policies and selecting appropriate mechanisms such as encryption, authentication, and traffic‑shaping controls in network security.</t>
  </si>
  <si>
    <t xml:space="preserve">Low</t>
  </si>
  <si>
    <t xml:space="preserve">N</t>
  </si>
  <si>
    <t xml:space="preserve">[Source 1 | Week 1 | Network attacks | lecture | dist=0.971]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2 | Week 1 | How do we define security | lecture | dist=1.059]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3 | Week 1 | Knowledge check PDF | quiz | dist=1.107]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4 | Week 5 | Quiz week 1-5 | quiz | dist=1.194]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5 | Firewall topologies | lecture | dist=1.221]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t>
  </si>
  <si>
    <t xml:space="preserve">Low | 1.111</t>
  </si>
  <si>
    <t xml:space="preserve">Security services</t>
  </si>
  <si>
    <t xml:space="preserve">What does authentication mean in network security?</t>
  </si>
  <si>
    <t xml:space="preserve">Verifying identity of a user or system before granting access</t>
  </si>
  <si>
    <t xml:space="preserve">Authentication in network security is the process of verifying the identity of a user, device, or process before granting access to network resources or allowing network traffic to pass through security controls. It ensures that only legitimate, recognised entities can initiate or receive communications, and forms the basis for enforcing security policies such as user‑control in firewalls or the secure authentication required for IPsec VPNs.  
**Sources**: Week 5 – *Firewall topologies* and *What is a firewall* (mention of authentication in IPsec and user control).</t>
  </si>
  <si>
    <t xml:space="preserve">[Source 1 | Week 5 | Firewall topologies | lecture | dist=0.964]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2 | Week 1 | How do we define security | lecture | dist=1.105]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3 | Week 1 | Overview and learning outcomes | overview | dist=1.126]
1.1 Overview and learning outcomes Welcome to week 1 of this module on Network Security. On successful completion of this week, you will understand how a network is structured, gaining an idea of how security properties are linked to the general categories of attacks that affect a network infrastructure. [Learning outcome box] Learning outcomes By the end of this week, you should be able to: Describe basic security terminology and how security inside a network is achieved. Describe the OSI model and show knowledge of each of the network layers. Describe the different kind of attacks, relating them with the basic security properties.
[Source 4 | Week 5 | What is a firewall | lecture | dist=1.174]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5 | Week 5 | What is a firewall | lecture | dist=1.18]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to a service according to which entity is trying to access that specified service. This feature is applied to users inside the firewall perimeter (internal users). It may also be applied to incoming traffic from external users. It requires some form of secure authentication technology. Using Ipsec and similar protocols, this feature can be applied to incoming traffic from external users. [Card vertical (no image)] Behaviour control This controls how particular services are used. It keeps track of particular services in order to find any malicious activity in the service. An example would be blocking spam mails by filtering addresses. Firewall limitations A firewall cannot protect from attacks that bypass it or against malware imported via a laptop, a PDA, or storage that was infected from outside the network. For example: sneakernet, utility modems, trusted organisations, trusted services (eg SSL/SSH), etc. [Definition box] Sneakernet An informal term describing the transfer of electronic information, especially computer files, by physically moving removable media such as magnetic tape, floppy disks, compact discs, USB flash drives (thumb drives, USB stick) or external hard drives from one computer to another, usually instead of transmitting the information over a computer network. The term, a tongue-in-cheek play on Ethernet, refers to the use of someone wearing sneakers as the transport mechanism for the data. You can watch the following video to see an example of Sneakernet. 3.3 What is a firewall?: What is a firewall? | KEATS (LD: only if video is KD-produced, not needed for 3rd party videos) Sneakernet Dr Ievgeniia Kuzminykh Senior Lecturer in Cybersecurity Education View transcript Dr Ievgeniia Kuzminykh | Senior Lecturer in Cybersecurity Education Hi. In this video, we are going to take a look at an attack called ‘Sneakernet’, which is an informal term for the transfer of electronic information by physically moving media such as optical discs, USB flash drives or external hard drives between computers, rather than transmitting it over a computer network. We are going to have a look at an example from Mr Robot. This clip from Mr Robot, season 1, episode 6, shows us an attempt to bypass the potential protections that are in place to protect a precinct. Now, let’s play the clip. [A woman is walking on a parking lot and dropping on the ground several USB flash drives.] Elliot, the hacker, aims to get into the police network infrastructure. He recruited Darlene to pull off a simple, but classic penetration testing technique. Let's pause for a moment and look at this scene. In order to allow Elliot to get access to the IT police infrastructure, she is planting poisoned USB sticks in hopes that someone will plug one in, in front of the</t>
  </si>
  <si>
    <t xml:space="preserve">Low | 1.11</t>
  </si>
  <si>
    <t xml:space="preserve">Medium</t>
  </si>
  <si>
    <t xml:space="preserve">Which property of the CIA triad does a denial-of-service attack primarily target?</t>
  </si>
  <si>
    <t xml:space="preserve">Availability; DoS denies access to services</t>
  </si>
  <si>
    <t xml:space="preserve">Answer: Availability.</t>
  </si>
  <si>
    <t xml:space="preserve">[Source 1 | Week 1 | Knowledge check PDF | quiz | dist=0.956]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2 | Week 1 | Network attacks | lecture | dist=1.003]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3 | Week 3 | Knowledge check | quiz | dist=1.15]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1 | How do we define security | lecture | dist=1.156]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5 | Week 5 | Quiz week 1-5 | quiz | dist=1.169]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t>
  </si>
  <si>
    <t xml:space="preserve">Medium | 1.087</t>
  </si>
  <si>
    <t xml:space="preserve">Security concepts</t>
  </si>
  <si>
    <t xml:space="preserve">What is the difference between a threat and a vulnerability?</t>
  </si>
  <si>
    <t xml:space="preserve">Threat = potential harm/attacker; Vulnerability = exploitable weakness</t>
  </si>
  <si>
    <t xml:space="preserve">A **threat** is an entity or event that has the potential to cause harm to a system – for example an attacker (Mallory in the Alice‑Bob diagram) who can exploit weaknesses to compromise confidentiality, integrity or availability. In the course material a threat is part of the “threat model”, which specifies who is attacking and what powers they possess (Week 1, “How do we define security?”).  
A **vulnerability** is a weakness or flaw in a system that a threat can exploit. The material discusses various attacks (jamming, spoofing, hijacking, sniffing, poisoning) that take advantage of such weaknesses, but does not provide a separate definition of vulnerability. Thus, while the notion of a threat is explicitly mentioned, the term vulnerability is inferred rather than directly defined.</t>
  </si>
  <si>
    <t xml:space="preserve">[Source 1 | Week 1 | How do we define security | lecture | dist=1.16]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2 | Week 1 | Knowledge check | quiz | dist=1.243]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1 | Network attacks | lecture | dist=1.261]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1 | Knowledge check PDF | quiz | dist=1.384]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5 | Week 1 | This week’s webinar | webinar | dist=1.403]
1.12 This week’s webinar This webinar takes place on [Date] [Month] at XX:XX (UK time).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or want to add to your own answer, you can check the relevant section of the weekly content. What is the difference between a security policy and a security mechanism? Think about the concepts of LAN, MAN and WAN. Can you give an example for each of them? Scenario: I am a security analyst and my job is to protect a network infrastructure against possible disruptions. What is the security principle I am trying to guarantee? What is the network attack that I need to prevent? Knowing the OSI model is essential to understand network security attacks. In fact, many attacks exploit more than one layer of the OSI model. Can you describe the first four layers and their characteristics?</t>
  </si>
  <si>
    <t xml:space="preserve">Low | 1.29</t>
  </si>
  <si>
    <t xml:space="preserve">Network attacks</t>
  </si>
  <si>
    <t xml:space="preserve">What is the difference between active and passive attacks?</t>
  </si>
  <si>
    <t xml:space="preserve">Passive = eavesdrop/monitor; Active = modify/inject data</t>
  </si>
  <si>
    <t xml:space="preserve">**Answer**
Active attacks are those in which an attacker deliberately modifies the state of the network, the system, or the data in transit. They usually involve sending forged or malicious packets and can disrupt, alter, or hijack communications.  
Passive attacks, by contrast, are limited to observation: the attacker simply listens to network traffic or scans for information without altering anything. They gather data (e.g., eavesdropping, sniffing, port mirroring) but do not interfere with the operation of the network or its protocols.
*Week 5 quiz material* explicitly states that **spoofing is the only active attack, while sniffing, network tapping, port mirroring and eavesdropping are passive attacks**. The distinction is that spoofing injects forged packets to alter network state, whereas the other techniques only record traffic.</t>
  </si>
  <si>
    <t xml:space="preserve">[Source 1 | Week 5 | Quiz week 1-5 | quiz | dist=1.208]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2 | Week 5 | 3.16 Quiz week 1-3  Attempt review   KEATS | quiz | dist=1.258]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[Source 3 | Week 1 | Knowledge check | quiz | dist=1.273]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4 | Week 3 | Knowledge Check  Attempt review   KEATS | quiz | dist=1.326]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1 | Network attacks | lecture | dist=1.336]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</si>
  <si>
    <t xml:space="preserve">Low | 1.28</t>
  </si>
  <si>
    <t xml:space="preserve">What is non-repudiation?</t>
  </si>
  <si>
    <t xml:space="preserve">Prevents a party denying they sent/received a message; proof of origin</t>
  </si>
  <si>
    <t xml:space="preserve">Non‑repudiation is the security property that prevents a party from denying that it performed a particular action – for example, that it sent a message or that a transaction was carried out. In practice it is achieved through mechanisms such as digital signatures, secure timestamps and tamper‑evident logs that can be used as evidence of the action.</t>
  </si>
  <si>
    <t xml:space="preserve">[Source 1 | Week 1 | Knowledge check | quiz | dist=1.462]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2 | Week 1 | How do we define security | lecture | dist=1.513]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or discouraging unauthorised people from attempting to gain access to your facility – and, in our case, to our network – by implementing measures that unauthorised people perceive as too difficult or needing special tools and training to defeat (eg firewalls, cryptography, etc). [Card vertical (no image)] Detect Detecting unauthorised access as early as possible and implementing measures to work out whether an unauthorised action is occurring or has occurred (eg intrusion detection systems). [Card vertical (no image)] Deny Preventing unauthorised access by implementing measures to block unauthorised access (eg firewalls). The above three are most important types of security mechanisms, but there are other strategies such as delaying unauthorised users once they compromise the network, recovering after an attack by taking remedial steps, and insuring by passing the consequences of risk to someone else. There are many mechanisms you may choose to employ. Here are some examples. Identification of principals: requiring usernames to identify users. Authentication: password checks to ensure a user is who they claim to be. Authorisation: enforcing a policy of limiting access to a resource to only those users who are authorised. Physical protection: locks, swipe cards and enclosures. Encryption and decryption algorithms: transforming between plaintext and ciphertext using keys. Economics: a common assumption from economics is that adversaries are rational and self-interested. For example, if emails are associated with a cost, we will have less spam as the spammer will not want to lose money. Deception: getting an adversary to reveal themselves by using honeypots on extremely vulnerable servers, which are deployed as ‘weak entities’, to see who will attack and how they will attack. Lessons learned from honeypot can be used to protect production servers. Randomness, unpredictability: not using common words for passwords. Traffic padding: inserting bits into gaps in a data stream to frustrate traffic analysis. Notarisation: using a trusted third party to assure certain properties of data exchange. Security audit trail: collecting and potentially using data to facilitate a security audit. Security recovery: dealing with requests from security mechanisms – such as event handling and management functions – and taking recovery actions. Are there any other mechanisms you know of? Share them in this week’s general discussion forum.
[Source 3 | Week 5 | Types of firewalls – part 2 | lecture | dist=1.604]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4 | Week 5 | Types of firewalls – part 2 | lecture | dist=1.623]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5 | Week 1 | Knowledge check PDF | quiz | dist=1.656]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t>
  </si>
  <si>
    <t xml:space="preserve">Low | 1.572</t>
  </si>
  <si>
    <t xml:space="preserve">What is a replay attack?</t>
  </si>
  <si>
    <t xml:space="preserve">Captured valid data retransmitted to gain access or repeat an action</t>
  </si>
  <si>
    <t xml:space="preserve">A replay attack is a type of network attack in which an attacker first passively captures a legitimate data unit (for example, a packet containing a valid authentication token or command) and later retransmits that exact unit to a target system. The retransmission is intended to produce an unauthorised effect—such as gaining access, re‑executing a command, or forging a transaction—by tricking the system into treating the replayed data as fresh.  
This definition is given in the Week 1 knowledge‑check quiz (Source 2).</t>
  </si>
  <si>
    <t xml:space="preserve">[Source 1 | Week 3 | ARP protocol and ARP spoofing | lecture | dist=1.021]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2 | Week 1 | Knowledge check PDF | quiz | dist=1.034]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3 | Knowledge check | quiz | dist=1.09]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5 | Types of firewalls – part 1 | lecture | dist=1.157]
second attack is called the tiny fragment attack. The idea is to split the header info over several tiny packets. The attacker uses the IP fragmentation option to create extremely small fragments and force the TCP header information into a separate packet fragment. This attack is designed to circumvent filtering rules that depend on TCP header information. Typically, a packet filter will make a filtering decision on the first fragment of a packet. All subsequent fragments of that packet are filtered out solely on the basis that they are part of a packet whose first fragment was rejected. The attacker hopes that the filtering firewall examines only the first fragment and that the remaining fragments are passed through. What is the countermeasure to this attack? [View answer (no academic)] View answer The solution is to either discard or reassemble the packets before checking. A tiny fragment attack can be defeated by enforcing a rule that the first fragment of a packet must contain a predefined minimum amount of the transport header. If the first fragment is rejected, then the filter can remember the packet and discard all subsequent fragments.
[Source 5 | Week 1 | Network attacks | lecture | dist=1.213]
1.7 Network attacks Each layer and protocol expose information and functionality. Seemingly secure functionality at one layer could enable attacks at another; sophisticated attacks often exploit multiple layers. Let’s look at some examples. Jamming [Float box (with image-left)] A jamming attack is an attack in which malicious nodes block legitimate communication by causing intentional interference in networks. The link layer is typically broadcast-based and only one user can talk at a time. The jamming attack works by hogging the broadcast medium so no one can talk. It’s done most easily on ethernet or Wi-Fi. Pictured here is a portable jammer. It works for Wi-Fi and 3G/4G networks. It has a range of about 5–20 meters, and costs between £100 and £200. Alt: A portable jammer.. It has a rectabgular metal body and eight antenna. Caption: [(Optional) caption text] Sniffing A sniffing attack, or a sniffer attack, is a theft or interception of data. It works by capturing the network traffic using a sniffer, which is an application aimed at capturing network packets. When data are transmitted across networks, if the data packets are not encrypted, the data within the network packet can be read using a sniffer. Using a sniffer application, an attacker can analyse the network and gain information to eventually cause the network to crash, to become corrupted or to read the communications happening across the network. You may have seen in some movies, law agencies and criminals bug telephone lines to listen in on calls that a person receives in order to gather information. This is a perfect example of a sniffing attack. This technology can be used to test the telephone lines and determine the quality of the call, but criminals used it for their own illegitimate purposes. Entry ID: 1_vnjm4kef (LD: only if video is KD-produced, not needed for 3rd party videos) Sniffing Dr Diego Sempreboni Research Associate View transcript Dr Diego Sempreboni | Research Associate &lt;p&gt;&lt;strong&gt;Dr Diego Sempreboni&lt;/strong&gt;: Hi, in this video we are going to take a look at a network attack called ‘sniffing’, which is a theft or interception of data.&lt;/p&gt; &lt;p&gt;We are going to have a look at an example from &lt;em&gt;Mr Robot&lt;/em&gt;. This clip from &lt;em&gt;Mr Robot&lt;/em&gt;, season 1, episode 6, shows us a sniffing attack. Let's give a look at it.&lt;p&gt; &lt;p&gt;[From the clip, Elliot speaking:] 'I need 30 to 40 seconds from the patrol car’s Bluetooth connection to run the exploit on the PLC'. [Elliott is sitting in a car parked close to the police patrol car.]&lt;/p&gt; &lt;p&gt;&lt;strong&gt;DS&lt;/strong&gt;: Elliot, the hacker that is talking, aims to get into the police network infrastructure through the laptop in the patrol car in order to upload a malicious code. [Elliott is shown inserting a ‘MultiBlue Dongle’ into his laptop.] In order to get access to the police infrastructure, he is performing a sniffing attack on the Bluetooth network that the patrol's laptop has.&lt;/p&gt; &lt;p&gt;[On screen: three terminal windows are shown on a computer screen.] Here, it is possible to see three</t>
  </si>
  <si>
    <t xml:space="preserve">Low | 1.103</t>
  </si>
  <si>
    <t xml:space="preserve">Hard</t>
  </si>
  <si>
    <t xml:space="preserve">Network structure</t>
  </si>
  <si>
    <t xml:space="preserve">At which OSI layer does ARP operate and why?</t>
  </si>
  <si>
    <t xml:space="preserve">Layer 2 data link; maps L3 IP to L2 MAC addresses</t>
  </si>
  <si>
    <t xml:space="preserve">ARP operates at the **Data Link layer (Layer 2)** of the OSI model.  
The protocol is used to map a network‑layer IP address to a link‑layer MAC address and is encapsulated inside Ethernet frames (or other link‑layer frames). Because it resolves addresses for communication within a broadcast domain and relies on link‑layer addressing for transmission, ARP is a Layer 2 protocol.  
**Sources**: Week 3 – “ARP protocol and ARP spoofing” (lecture) discusses ARP requests being broadcast in frames and the lack of authentication at the link‑layer; Week 3 – “ARP protocol and ARP spoofing” (lecture) also describes ARP messages being carried in Ethernet frames.</t>
  </si>
  <si>
    <t xml:space="preserve">[Source 1 | Week 3 | ARP protocol and ARP spoofing | lecture | dist=0.804]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dist=0.805]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1 | Network structure | lecture | dist=0.875]
1.6 Network structure 1. OSI model and basics of network terminology The Open Systems Interconnection (OSI) reference model is a conceptual framework that describes functions of the networking or telecommunication system independently from the underlying technology infrastructure. It divides data communication into seven abstraction layers and provides a structured framework to which protocols are mapped based on the roles they perform to ensure interoperability within the communication system regardless of the technology type, vendor and model. [Graphic – full-width] Figure: A diagram showing the seven layers of the OSI model. See the description below. Caption: [View description] View description The seven layers of the OSI model include: Physical (physical structure) – coax, fibre, wireless, hubs, repeaters. Data link (frames) – Ethernet, PPP, switch, bridge. Network (packets) – IP, ICMP, IPSec, IGMP. Transport (end-to-end connections) – TCP, UDP. Session (sync &amp; send to port) – APIs, sockets, WinSock. Presentation (syntax layer) – SSL, SSH, IMAP, FTP, MPEG, JPEG. Application (end used layer) – HTTP, FTP, IRC, SSH, DNS. The arrow pointing top down represents that the data are processed and sent to the network through the OSI model. The arrow pointing bottom up represents that the received data from the network is processed and passed back to application. Each layer serves the layer above it and is served by the layer below it. We will look at the first four in some detail, but you can read an explanation of all the layers here. [Card vertical (no image)] Physical layer The lowest layer of the OSI model, the physical layer, is concerned with data communication in the form of electrical, optic or electromagnetic signals physically transmitting information between networking devices and infrastructure. The physical layer is responsible for the communication of unstructured raw data streams over a physical medium. It defines a range of aspects, including: Electrical, mechanical and physical systems and networking devices that include specifications such as cable size, signal frequency, voltages, etc. Hardware including networking devices, antennas, cables, modem, and intermediate devices such as repeaters and hubs. [Card vertical (no image)] Data link The second layer of the OSI model, the data link, concerns data transmission between the nodes within a network and manages the connections between physically connected devices such as switches. The raw data received from the physical layer are synchronised and packaged into data frames that contain the necessary protocols to route information between appropriate nodes. [Card vertical (no image)] Network layer The third layer, the network layer, of the OSI model, the network layer, organises and transmits data packets between multiple networks. The network layer is responsible for routing the data via the best physical path based on a range of factors including network characteristics, best available path, traffic controls, congestion of data packets and priority of service, among others. The network layer implements logical addressing for data packets to distinguish between the source and destination networks. Network layer hardware includes routers. [Card vertical (no image)] Transport layer The fourth layer of the OSI
[Source 4 | Week 2 | Demo network commands | lecture | dist=1.036]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1 | Network structure | lecture | dist=1.107]
characteristics, best available path, traffic controls, congestion of data packets and priority of service, among others. The network layer implements logical addressing for data packets to distinguish between the source and destination networks. Network layer hardware includes routers. [Card vertical (no image)] Transport layer The fourth layer of the OSI model, the transport layer, ensures complete and reliable delivery of data packets. The transport layer provides mechanisms such as error control, flow control and congestion control to keep track of the data packets, checking for errors and duplication, and resending the information that fails delivery. We can think of the transport layer as an ‘end-to-end’ pipe for bits (the smallest units of digital data), from sender to receiver. It usually provides certain functionality, including: error correction to ensure reliability ensuring the correct ordering of data, typically first-in-first-out (FIFO), where data are delivered in the order they were sent to the receiver dealing with network effects such as congestion. Additionally, the packet segmentation and reassembly ensure that the data are divided and sequentially sent to the destination where they are rechecked for integrity and accuracy based on the receiving sequence. Common protocols that operate in the transport layer include the Transmission Control Protocol (TCP) for connection-oriented data transmission and User Datagram Protocol (UDP) for connectionless data transmission. UDP is faster than TCP; however, UDP is less secure in terms of delivery of the packets, as some packets can be lost. During this module, we are also going to see some protocols that belong to level six and seven, such as SSL/TLS and DNS. The OSI model will be used throughout this module so make sure to familiarise yourself with it. You should be able to replicate the diagram and brief explanation of the layers from memory. The general model of a link layer, whether wired or wireless, is as a broadcast medium. This common ‘medium’ is easily accessed by anyone, leading to simple attacks. [Graphic – full-width] Figure: A diagram of a local area network showing several workstations, laptops, a printer and a server all connected to the same wire representing the link layer. Caption: The picture here depicts a portion of a local area network (LAN). [Definition box] Local-area network (LAN) A computer network that spans a relatively small area. Most often a LAN is confined to a single room, building or group of buildings. The job of the data link layer is to take packets from the network layer and break them into smaller pieces called frames, rerouting them to their destination within the LAN. To route between different LANs, we need the network layer. Some information needs to be shared to find the correct route, but network operators want to keep private data private. The network layer can be represented by a metropolitan-area network (MAN) or by a wide-area network (WAN). [Definition box] Metropolitan-area network (MAN) A computer network that interconnects users with computer resources in a geographic region of the size of a metropolitan area. The term</t>
  </si>
  <si>
    <t xml:space="preserve">Medium | 0.925</t>
  </si>
  <si>
    <t xml:space="preserve">Name three categories of network attacks and give an example of each.</t>
  </si>
  <si>
    <t xml:space="preserve">Three of: DoS, spoofing, hijacking, poisoning, scanning + examples</t>
  </si>
  <si>
    <t xml:space="preserve">**Answer**  
1. **Denial‑of‑Service (DoS)** – e.g. a **SYN flooding attack** that floods a server with SYN requests (Week 3).  
2. **Spoofing** – e.g. an **ARP spoofing attack** that sends forged ARP replies to hijack traffic on a LAN (Week 1, Week 3).  
3. **Hijacking** – e.g. **TCP session hijacking**, where an attacker takes over an established TCP connection (Week 4).</t>
  </si>
  <si>
    <t xml:space="preserve">[Source 1 | Week 3 | Knowledge check | quiz | dist=0.843]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1 | Knowledge check | quiz | dist=0.884]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4 | Overview and learning outcomes | overview | dist=0.917]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4 | Week 3 | TCP SYN flooding attacks | lecture | dist=0.926]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5 | Week 2 | Overview and learning outcomes | overview | dist=0.934]
2.1 Overview and learning outcomes Welcome to week 2 of the Network Security module. This week, you will be able to get acquainted with some attacks on layer 1 and layer 2 of the network structure, and reason on traffic analysis techniques. [Learning outcome box] Learning outcomes By the end of this week, you should be able to: Describe the attacks at layer 1 and 2 of the OSI model. Describe the traffic analysis techniques.</t>
  </si>
  <si>
    <t xml:space="preserve">Medium | 0.901</t>
  </si>
  <si>
    <t xml:space="preserve">Explain how one CIA property can be violated while another remains intact, with an example.</t>
  </si>
  <si>
    <t xml:space="preserve">e.g. eavesdropping breaks confidentiality but not integrity/availability</t>
  </si>
  <si>
    <t xml:space="preserve">In a *sniffing* attack the attacker passively captures packets that travel between Alice and Bob.  
The attacker learns the content of the messages, so **confidentiality** is violated.  
Because the packets are only observed and not altered, the data sent by Alice still arrives at Bob unchanged – **integrity** remains intact.  
The communication channel is still usable and the messages are delivered on time, so **availability** is also preserved.  
Thus, a single attack can compromise one CIA property (confidentiality) while leaving the other two (integrity, availability) undisturbed.  
(Week 1 lecture – network attacks and CIA mapping)</t>
  </si>
  <si>
    <t xml:space="preserve">[Source 1 | Week 1 | Network attacks | lecture | dist=1.125]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2 | Week 1 | Knowledge check PDF | quiz | dist=1.231]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1 | Knowledge check | quiz | dist=1.349]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4 | Week 1 | How do we define security | lecture | dist=1.365]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5 | Week 2 | Data interception | lecture | dist=1.504]
2.5 Data interception In this lesson, we’ll look at data interception and traffic analysis. It is possible to highlight three types of traffic analysis: protocol analysis, packet analysis and flow analysis. Let's see the protocol analysis first. Protocol analysis To start analysing traffic, first, we need to understand protocols. [Definition box] Protocol A set of rules or instructions that determine how ‘actors’ act or interact in a given situation. Examples include: a recipe for making a cake the procedure for boarding a plane the steps for buying a movie ticket. A communication protocol is a system of rules that allow two or more entities of a communication system to transmit information. Once in possession of the information, we might want to understand the semantics of the information being transmitted in order to interpret it. From a security point of view, analysing protocols might allow the discovery of potential vulnerabilities that an attacker can use. There are a large number of different network protocols such as IP, TCP, UDP, HTTP, HTTPS, SMTP and others. The specification of many of them is public, but some are proprietary and may need specialist tools or reverse engineering to access. We need the protocol to understand the semantics of the information being transmitted in order to interpret it. Support for public protocols is usually implemented in tools like Wireshark, which shows headers, flags and content in a more user-friendly and navigable way. Once we have decided that we are interested in a specific protocol, we can capture all the packets that belong to that specific protocol and begin a more fine-grained analysis: packet analysis. Packet analysis Network professionals use packet analysis to monitor the health of a network; security professionals use it to conduct passive network vulnerability assessments. Passive, in this context, means inspection without altering the contents. On the other hand, attackers can use the same techniques and tools to steal information such as passwords. However, in packet analysis, the word ‘packet’ is misleading. What is actually captured and analysed are the frames. Frames are what carry packets in a local network, so during packet analysis, frames are always mentioned and frame details are always provided in addition to the packet payload. This diagram below shows the relationship between data, packets and frames: [Graphic – full-width] Figure: View description below. Caption: [View description] View description A diagram showing that at the transport layer (OSI layer 4), data are contained within TCP segments which carry the TCP protocol and port number. Segments are then contained in IP packets at the network layer (OSI layer 3) which hold the sender and receiver IP addresses. Finally, packets are contained in Ethernet frames at the data link layer (OSI layer 2) which hold the sender and receiver MAC addresses and end with a Frame Check Sequence (FCS) for error detection. There are several techniques that we can use to analyse the packets we collected. Pattern matching: identify packets of interest by matching specific values within the packet capture.</t>
  </si>
  <si>
    <t xml:space="preserve">Low | 1.315</t>
  </si>
  <si>
    <t xml:space="preserve">Week 2</t>
  </si>
  <si>
    <t xml:space="preserve">ARP protocol</t>
  </si>
  <si>
    <t xml:space="preserve">What does ARP stand for and what is its purpose?</t>
  </si>
  <si>
    <t xml:space="preserve">Address Resolution Protocol; maps IP to MAC on local network</t>
  </si>
  <si>
    <t xml:space="preserve">Address Resolution Protocol (ARP) – a protocol used to discover the MAC (hardware) address that belongs to a given IP address on a local network, allowing a host to translate between the network‑layer address (IP) and the link‑layer address (MAC) so that frames can be sent to the correct destination.  
**Source:** Week 3 lecture material (Source 1 and Source 2)</t>
  </si>
  <si>
    <t xml:space="preserve">[Source 1 | Week 3 | ARP protocol and ARP spoofing | lecture | dist=0.78]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dist=0.999]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3 | ARP protocol and ARP spoofing | lecture | dist=1.117]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Knowledge Check  Attempt review   KEATS | quiz | dist=1.16]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3 | Knowledge check | quiz | dist=1.181]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t>
  </si>
  <si>
    <t xml:space="preserve">Medium | 1.047</t>
  </si>
  <si>
    <t xml:space="preserve">What is stored in an ARP cache?</t>
  </si>
  <si>
    <t xml:space="preserve">IP-to-MAC address mappings for recently contacted hosts</t>
  </si>
  <si>
    <t xml:space="preserve">An ARP cache holds the mapping between an IPv4 address and the corresponding Ethernet MAC address that is used to reach that host on the local network.  
In other words, each entry in the cache contains the IP address of a node and the MAC address that the local machine believes is associated with that IP.</t>
  </si>
  <si>
    <t xml:space="preserve">Y</t>
  </si>
  <si>
    <t xml:space="preserve">[Source 1 | Week 3 | ARP protocol and ARP spoofing | lecture | dist=0.931]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5 | Quiz week 1-5 | quiz | dist=1.012]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3 | Week 3 | ARP protocol and ARP spoofing | lecture | dist=1.076]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This week’s webinar | webinar | dist=1.142]
3.13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Explain the function of ARP and RARP and why ARP results are cached. How can ARP cache be used to spoof other computers? What is the main complication of poisoning an ARP cache? How would it be possible to solve it? What are SYN flood attacks? How can IP spoofing be used to make them more effective? Explain how TCP connections are set up through a Three-Way Handshake and discuss TCP session hijacking by an on-path adversary. Explain how iterative DNS queries work and how this can be exploited to poison caches. We have seen many network attacks. You should also have found information about what a botnet is. Where would a botnet be more useful to execute an attack?
[Source 5 | Week 3 | ARP protocol and ARP spoofing | lecture | dist=1.184]
own. This is the set up for the attack. Then, when a packet comes through from A to B, it goes to the hacker on the link layer because of A’s poisoned cache. The attacker can examine this message and relay or copy it to B, pretending to be A. The same goes for messages in the reverse direction from B to A. This is the set up for the attack. Step 1 [Graphic – full-width] Note for ELVD: please could you replace T1 with A and replace T2 with B Also, same as the graphics earlier, please could you change the label below T1 from ‘ARP cache’ to ‘Computer A’s ARP cache’ and the one below T2 from ‘ARP cache’ to ‘Computer B’s ARP cache’ Figure: View description. Caption: [View description] View description Three computers connected to a switch: computer A has IP = 10.0.0.1 and MAC = aa:aa:aa:aa computer B has IP = 10.0.0.2 and MAC = bb:bb:bb:bb the hacker’s computer has IP = 10.0.0.3 and MAC = cc:cc:cc:cc. The hacker sends a spoofed ARP reply with IP = 10.0.0.2 and MAC = cc:cc:cc:cc that reaches A. Below computer A there is the label ‘Computer A’s ARP cache’ with IP=10.0.0.2 and MAC= cc:cc:cc:cc (spoofed). Below computer B there is the label ‘Computer B’s ARP cache’ with IP = 10.0.0.1 and MAC = aa:aa:aa:aa cc:cc:cc:cc (spoofed). There are arrows indicating communications between A and the hacker as well as B and the hacker. See the process below. The hacker spoofs the ARP reply and poisons the cache of A by sending a spoofed ARP reply with IP = 10.0.0.2 and MAC = cc:cc:cc:cc. Step 2 [Graphic – full-width] Figure: The hacker poisoning the cache of computer B by sending a spoofed ARP reply with IP = 10.0.0.1 and MAC = cc:cc:cc:cc to B. Caption: The hacker also poisons the cache of B using the spoofed ARP reply, this time with the IP address of A (10.0.0.1). Step 3 [Graphic – full-width] Figure: Described in the text below. Caption: The hacker now receives messages (from A) meant for B before relaying them on. Step 4 [Graphic – full-width] Figure: View the description below. Caption: The hacker also receives messages (from B) meant for A before relaying them on. [new page] 4. MAC flooding attacks Switches have an internal table called a content addressable memory (CAM) table, which maps switch ports to MAC addresses. Here is an example: 2960-1#show mac address-table Mac Address Table Vlan MAC address Type Ports 1 00ld.70ab.5d60 DYNAMIC 2 1 00le.f724.al60 DYNAMIC 3 It is possible to attack the availability of switches by attacking their CAM table. This is possible by taking advantage of ARP messages. This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t>
  </si>
  <si>
    <t xml:space="preserve">Medium | 1.069</t>
  </si>
  <si>
    <t xml:space="preserve">DHCP</t>
  </si>
  <si>
    <t xml:space="preserve">What is DHCP and what is its purpose?</t>
  </si>
  <si>
    <t xml:space="preserve">Dynamic Host Configuration Protocol; assigns IP addresses/config</t>
  </si>
  <si>
    <t xml:space="preserve">**Answer**
The Dynamic Host Configuration Protocol (DHCP) is a network protocol that lets a client computer automatically receive an IP address and related network configuration parameters (such as subnet mask, default gateway, DNS servers, and lease duration) from a DHCP server. A DHCP session proceeds through four message types:  
1. **DHCP DISCOVER** – the client broadcasts a request for an IP address.  
2. **DHCP OFFER** – the server replies (broadcast) with an available IP address and configuration details.  
3. **DHCP REQUEST** – the client selects one offer and broadcasts a request to accept it.  
4. **DHCP ACKNOWLEDGE** – the server confirms the lease, and the client configures its interface.
The purpose of DHCP is therefore to provide *dynamic* assignment of IP addresses and associated configuration data to devices on a network, eliminating the need for manual configuration and ensuring efficient use of the address pool through leasing and renewal mechanisms.  
*Sources: Week 3 – DHCP attacks lecture (Source 1), Study the DHCP protocol lecture (Source 2).*</t>
  </si>
  <si>
    <t xml:space="preserve">[Source 1 | Week 3 | DHCP attacks | lecture | dist=0.77]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2 | Week 3 | Study the DHCP protocol | lecture | dist=0.886]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DHCP attacks | lecture | dist=0.941]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4 | Week 3 | DHCP attacks | lecture | dist=1.028]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5 | Week 3 | ARP protocol and ARP spoofing | lecture | dist=1.167]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t>
  </si>
  <si>
    <t xml:space="preserve">Medium | 0.958</t>
  </si>
  <si>
    <t xml:space="preserve">Why is ARP described as a stateless protocol?</t>
  </si>
  <si>
    <t xml:space="preserve">Accepts/overwrites replies without a prior request; no authentication</t>
  </si>
  <si>
    <t xml:space="preserve">ARP is called a **stateless protocol** because it does not maintain any internal session or request‑response state when handling ARP messages.  
When a host receives an ARP reply it accepts it unconditionally and simply updates its ARP cache, overwriting any existing entry for that IP address regardless of whether that entry had expired or whether a request was previously sent. There is no authentication or tracking of “pending” requests – each ARP packet is treated as an independent, self‑contained message. (Week 3 lecture, Source 1)</t>
  </si>
  <si>
    <t xml:space="preserve">[Source 1 | Week 3 | ARP protocol and ARP spoofing | lecture | dist=0.912]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dist=1.197]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1 | slides | slides | dist=1.319]
A networking example TCP/IP Protocol Architecture Dr Hannah Cao TCP/IP Protocol Architecture SMTP (Email) FTP (file transfer) SSH (remote access) HTTP (web), SIP (VoIP), DNS (name service) TCP (contention-oriented) UDP (connectionless) IP v4, IP v6, Mobile IP OSPF, BGP, RIP ARP, ICMP, CSMA/CD (Ethernet) MACAW (WiFi), PCF, DCF, 802.15.4 (IoT) Twisted pair, optical fiber, satellite, radio Modulation Router Switch PCs, tablets, smart phones etc UTP cable etc. Peer Layers in TCP/IP Protocol Architecture Application byte stream TCP/UDP segment IP packet MAC frame Physical bit stream Alice Bob Networking Example Browsing to www.kcl.ac.uk Browser established a TCP connection with www.kcl.ac.uk server Browser asked for the index webpage using HTTP command GET Browser displayed the page on the screen Sending to Network - Encapsulation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HTTP user data TCP Header HTTP user data Receiving from Network - Decapsulation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Internet IP v4: Src addr = Bob Dest addr = KCL server Network access CSMA/CD Src MAC addr =Bob Dest MAC addr = gateway face 0 Physical Twisted pair Receive from network -decapsulation Default gateway Routing and Sending to Network again Internet IP v4: Src addr = Bob Dest addr = KCL server Network access CSMA/CD Src MAC addr =Bob Dest MAC addr = gateway face 0 Physical Twisted pair Receive from network -decapsulation Default gateway Internet IP v4: Src addr = Bob Dest addr = KCL server Network access 802.11, Src MAC addr =Gateway face1 Dest MAC addr router 1 face0 Physical Twisted pair Internet IP v4: Src addr = Bob Dest addr = KCL server Network access 802.11, Src MAC addr = Gateway inter Dest MAC addr router 1 face0 Physical Twisted pair Receive from network -decapsulation Router 1 Internet IP v4: Src addr = Bob Dest addr = KCL server Network access 802.11, Src MAC addr =router 1 face 1 Dest MAC addr router 2 face 0 Physical Twisted pair Send to network - encapsulation Send to network - encapsulation Routing Routing Routing table Routing table Receiving the Destination – Decapsulation Application HTTP Transport TCP: Src port =2500 Dest port = 80 Internet IP v4: Src addr = Bob Dest addr = KCL server Network access 802.11, Src MAC addr=Router N face1 Dest MAC addr KCL server Physical Twisted pair HTTP user data Router N Internet IP v4: Src addr
[Source 4 | Week 3 | ARP protocol and ARP spoofing | lecture | dist=1.353]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5 | Week 3 | Knowledge Check  Attempt review   KEATS | quiz | dist=1.372]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t>
  </si>
  <si>
    <t xml:space="preserve">Low | 1.231</t>
  </si>
  <si>
    <t xml:space="preserve">What is the difference between an ARP request and an ARP reply?</t>
  </si>
  <si>
    <t xml:space="preserve">Request = broadcast asking who has an IP; reply = unicast with MAC</t>
  </si>
  <si>
    <t xml:space="preserve">An ARP request is a broadcast packet that a host sends to discover the MAC address that belongs to a known IP address.  
* It is encapsulated in a frame addressed to the broadcast MAC address.  
* The ARP payload contains the sender’s IP and MAC, the target’s IP, and a zeroed target‑MAC field.  
* Every host on the LAN receives the broadcast, but only the host that owns the requested IP processes it and drops the packet.
An ARP reply, on the other hand, is a unicast packet sent by the target host back to the requester.  
* It is sent to the requester’s MAC address.  
* The ARP payload includes the target’s IP and MAC (the mapping the requester sought) and the requester’s IP/MAC as the sender.  
* The requester receives this unicast and updates its ARP cache with the IP‑to‑MAC association.
Thus, the request is a broadcast looking for a MAC, while the reply is a unicast answer that supplies the missing MAC.  
(Week 3 lecture, “ARP protocol and ARP spoofing.”)</t>
  </si>
  <si>
    <t xml:space="preserve">[Source 1 | Week 3 | ARP protocol and ARP spoofing | lecture | dist=0.794]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Knowledge Check  Attempt review   KEATS | quiz | dist=1.026]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3 | Week 3 | ARP protocol and ARP spoofing | lecture | dist=1.064]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4 | Week 2 | Demo network commands | lecture | dist=1.128]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3 | ARP protocol and ARP spoofing | lecture | dist=1.133]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t>
  </si>
  <si>
    <t xml:space="preserve">Medium | 1.029</t>
  </si>
  <si>
    <t xml:space="preserve">What is a MAC address and how does it differ from an IP address?</t>
  </si>
  <si>
    <t xml:space="preserve">MAC = physical L2 fixed address; IP = logical L3 assigned address</t>
  </si>
  <si>
    <t xml:space="preserve">A MAC (Media Access Control) address is a 48‑bit, hardware‑assigned identifier that uniquely labels a network interface controller (NIC). It is written as 12 hexadecimal digits separated by colons (e.g., 07:01:02:01:2C:4B) and is embedded in the Ethernet frame header at Layer 2 of the OSI model. Because the MAC is burned into the NIC, it remains constant for the device and is only valid within the local broadcast domain; routers do not forward Ethernet frames based on MAC addresses.
An IP address is a logical address used by the network layer (Layer 3). IPv4 addresses are 32‑bit values, while IPv6 addresses are 128‑bit values. Unlike MAC addresses, IP addresses can be reassigned, are often allocated dynamically via DHCP, and are routable across the global Internet. The mapping from an IP address to the underlying MAC address is performed by the Address Resolution Protocol (ARP) on a LAN.
Thus, the key differences are:
* **Scope and mobility** – MAC addresses are static, hardware‑bound, and confined to a single broadcast domain; IP addresses are logical, can change, and are used for routing between networks.
* **Layer of operation** – MAC operates at the data‑link (Layer 2); IP operates at the network (Layer 3).
* **Assignment** – MAC addresses are vendor‑assigned; IP addresses are assigned by a network administrator or via DHCP (Source 3, Week 3; Source 1, Week 2).
These distinctions explain why, for example, a packet to two different host IPs can still share the same destination MAC if they reside behind the same default gateway (Source 1, Week 2).</t>
  </si>
  <si>
    <t xml:space="preserve">[Source 1 | Week 2 | Demo network commands | lecture | dist=0.892]
destination MAC is 52, 54, so same destination MAC as for cisco.com. Different IP addresses, but same MAC. Why this happening? Why can we see that same MAC address for both queries? This last question, and you can go. So, we can see this Realtek and here Realtek destinations. So, basically, Realtek is our network interface card. It's our default gateway and it has this MAC address. [the one previously mentioned.] What does it mean? It means that here is displayed the MAC address of our default gateway. Why display it here? Because MAC addresses work on a data link layer (on layer 2) and they cannot see anything after our local default gateway. So, all Ethernet data is limited by our default gateway. Here is the IP destination [2.22.69.207] and source [10.0.2.4], and the ICMP. You can see that the ICMP doesn't go up than the internet layer, so it doesn't go even to the TCP (the transport layer). From this, we can tell that it works on the internet layer (on layer 3). If you go to the DNS, if you look up DNS, we can see that it goes to the transport layer. We can see the segments here, the UDP, and then the DNS. So we can conclude that it goes to the application layer and this application layer protocol. Application [pointing at the DNS line], this one transport [pointing at the UDP line], this internet [pointing at the IP line], this data link [pointing at Ethernet line], and this is physical [pointing at the Frame line]. So, basically in the first lab, you also can play with different filters and to see what it returns, type netstat [typing netstat – tunap]. Netstat is also an important command for checking the network health. We can see what ports are open. We can see TCP UDP numbering ports, so that's why it's shown me only the TCP. And the state is listen. If I add sudo, it even shows me PID process – process ID – which is important to see who run this process. If someone, for example, here appears not expected (some user not expected), then it can be spotted by admin and to say that something wrong here.&lt;/p&gt;
[Source 2 | Week 3 | Study the DHCP protocol | lecture | dist=0.907]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ARP protocol and ARP spoofing | lecture | dist=0.912]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4 | Week 2 | Demo network commands | lecture | dist=0.923]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3 | ARP protocol and ARP spoofing | lecture | dist=1.052]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t>
  </si>
  <si>
    <t xml:space="preserve">Medium | 0.937</t>
  </si>
  <si>
    <t xml:space="preserve">What are the four steps of the DHCP process?</t>
  </si>
  <si>
    <t xml:space="preserve">DISCOVER, OFFER, REQUEST, ACK (DORA)</t>
  </si>
  <si>
    <t xml:space="preserve">**DHCP process steps**
1. **DHCP DISCOVER** – the client broadcasts a DISCOVER message to locate a DHCP server.  
2. **DHCP OFFER** – the server replies with an OFFER message containing an IP address and other configuration.  
3. **DHCP REQUEST** – the client broadcasts a REQUEST message to accept the offered address.  
4. **DHCP ACK (ACKNOWLEDGE)** – the server sends an ACK message completing the lease and configuration.
These four messages are the standard DHCP handshake (Week 3, “Study the DHCP protocol” and “DHCP attacks” lectures).</t>
  </si>
  <si>
    <t xml:space="preserve">[Source 1 | Week 3 | DHCP attacks | lecture | dist=0.805]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2 | Week 3 | Study the DHCP protocol | lecture | dist=0.835]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DHCP attacks | lecture | dist=1.102]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4 | Week 3 | DHCP attacks | lecture | dist=1.133]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5 | Week 3 | Knowledge check | quiz | dist=1.171]
server. [Multiple choice question] Question Question number: 3 Question text: In DHCP starvation attack, what part of the protocol run is spoofed? Select all that apply: Settings Number of answers: [One/Multiple] Shuffle answers? [Yes/No] Answers (Please highlight the correct answer) Feedback (Optional feedback for each individual answer) the MAC address in the DHCP DISCOVER message the MAC address in the DHCP OFFER message the IP address in the DHCP ACK message the MAC address in the DHCP REQUEST message the IP address in the DHCP OFFER message General Feedback In a DHCP starvation attack, an attacker needs to broadcast a large number of DHCP DISCOVER messages using spoofed source MAC addresses. When accepting the DHCP OFFER, the client replies with DHCP REQUEST message which contains the same spoofed MAC address. If you are unsure about the answer, revisit the lesson ‘DHCP attacks’ in this week. [Multiple choice question] Question Question number: Question text: Choose all the messages that are sent by broadcasting: Settings Number of answers: [One/Multiple] Shuffle answers? [Yes/No] Answers (Please highlight the correct answer) Feedback (Optional feedback for each individual answer) ARP REQUEST message. ARP REPLY message. RARP REQUEST message. DHCP DISCOVER message. ICMP REQUEST message. General Feedback [Multiple choice question] Question Question number: 4 Question text: Which of the following attacks can cause a denial-of-service attack? Select all that apply: Settings Number of answers: [One/Multiple] Shuffle answers? [Yes/No] Answers (Please highlight the correct answer) Feedback (Optional feedback for each individual answer) SYN flooding attack DHCP starvation MAC flooding ICMP smurfing attack jamming attack General Feedback All five attacks – SYN flooding, DHCP starvation, MAC flooding, ICMP smurfing, and jamming – can cause denial of service by overwhelming or disrupting network resources. [Multiple choice question] Question Question number: 5 Question text: In an NTP amplification DDoS attack, why does the attacker request the NTP server to run the monlist command and respond? Select all that apply: Settings Number of answers: [One/Multiple] Shuffle answers? [Yes/No] Answers (Please highlight the correct answer) Feedback (Optional feedback for each individual answer) because the size of response traffic is much larger than that of the request because the monlist command is disabled by default on all devices because the monlist command causes a list of the last 600 IP addresses connected to the NTP server to be sent to the victim because the monlist command is enabled by default on older devices because the attacker only knows this command General Feedback The reference implementation of NTP allows users to request a list of hosts with which the NTP daemon ntpd communicated recently. The list, called ‘monlist’ has a size limit of 600 entries and contains the IP addresses of the last NTP clients or servers the instance has talked to. If you are unsure about the answer, revisit the lesson ‘Denial of service: amplification attacks’ in this week. [Multiple choice question] Question Question number: Question text: An NTP client is trying to synchronise its clock with a server. The four timestamps recorded in</t>
  </si>
  <si>
    <t xml:space="preserve">Medium | 1.009</t>
  </si>
  <si>
    <t xml:space="preserve">What is gratuitous ARP and why is it a security concern?</t>
  </si>
  <si>
    <t xml:space="preserve">Unrequested ARP reply; used for updates but exploitable for spoofing</t>
  </si>
  <si>
    <t xml:space="preserve">The course material you supplied does not cover the concept of *gratuitous ARP* or discuss it as a security issue. Therefore, I cannot provide an answer based on the provided sources.</t>
  </si>
  <si>
    <t xml:space="preserve">[Source 1 | Week 3 | ARP protocol and ARP spoofing | lecture | dist=0.958]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dist=0.959]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3 | Virtual lab | lab_instructions | dist=1.078]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4 | Week 5 | Quiz week 1-5 | quiz | dist=1.083]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5 | Week 3 | ARP protocol and ARP spoofing | lecture | dist=1.109]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t>
  </si>
  <si>
    <t xml:space="preserve">Medium | 1.037</t>
  </si>
  <si>
    <t xml:space="preserve">What is a DHCP starvation attack?</t>
  </si>
  <si>
    <t xml:space="preserve">Flood server with fake-MAC requests to exhaust IP pool; DoS</t>
  </si>
  <si>
    <t xml:space="preserve">A DHCP starvation attack is an availability‑oriented exploitation of the DHCP protocol in which an attacker floods the DHCP server with a large number of DHCP REQUEST messages that carry spoofed source MAC addresses. By continuously claiming new IP leases, the attacker exhausts the DHCP server’s pool of available addresses. Once the pool is depleted, the server can no longer respond to legitimate client requests, effectively denying service. The attacker can then introduce a rogue DHCP server to hand out malicious configuration (e.g., spoofed gateway or DNS) and enable further attacks such as MITM or sniffing.  
This definition is taken from the Week 3 lecture notes on DHCP attacks (Sources 1–3) and the lab instructions (Sources 4–5) which describe the mechanics of the attack and its impact.</t>
  </si>
  <si>
    <t xml:space="preserve">High</t>
  </si>
  <si>
    <t xml:space="preserve">[Source 1 | Week 3 | DHCP attacks | lecture | dist=0.348]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2 | Week 3 | DHCP attacks | lecture | dist=0.469]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3 | Week 3 | DHCP attacks | lecture | dist=0.708]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4 | Week 3 | Virtual lab | lab_instructions | dist=0.775]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5 | Week 3 | Virtual lab | lab_instructions | dist=0.862]
the server. 8 sleep 1 9 done To save the script, press the Esc key and type:w. To quit from vim editor, type :!q. To save the script, press the Esc key and type:w. Once you save it, you can check the location of this file using the command ls. Change the permissions on this file to be able to execute it: $ sudo chmod +x ./dhcpstarve.sh The shell script can be run in the terminal to launch the attack: sudo ./dhcpstarve.sh What type of packets are sent? What source and destination IP addresses do you see? What source and destination MAC addresses do you see? [View answer (no academic)] View answer The output is rather extensive, and it might be difficult to notice the lease being received. To filter the output, you can run: dhcpstarve.sh | grep bound You can see that this time the DHCP server replies with the OFFER messages and leases the IP addresses. Eventually, the DHCP server will run out of IP addresses and will stop responding to requests. When do you think the DHCP server will run out of IP addresses? Note that the DHCP starvation attack may impact getting new IP addresses; if you are having problems running the following steps, turn off the virtual machine. To release the current lease of IP address, perform the command: $ sudo dhclient -r The -r flag explicitly releases the current lease. Preventing a DHCP starvation attack Port security One effective way to prevent a DHCP starvation attack is to enable port security on switch ports. Port security restricts each port to accept only one or a specified number of valid MAC addresses. This stops a single client from spoofing multiple MAC addresses to send excessive DHCP requests. By limiting the number of allowed MAC addresses per port, you ensure that only authorised devices can obtain IP addresses, protecting the network from DHCP exhaustion and rogue clients. DHCP snooping Another way to prevent a DHCP starvation attack is to enable DHCP snooping on switches. DHCP snooping acts as a security feature that monitors DHCP messages and builds a trusted database of valid IP-to-MAC address bindings. The DHCP snooping feature identifies switch ports as ‘trusted’ and ‘untrusted’. Trusted ports (where a DHCP server or other switches are connected) can source all types of DHCP messages, including the DHCP OFFER message. Untrusted ports are the ports where DHCP clients are connected. Untrusted switch ports cannot source DHCP messages like DHCPOFFER, DHCPACK, or DHCPNAK, which are normally generated by a DHCP server. By default, all switch ports are untrusted. [new page] 4. DoS attack on web servers In this part of the lab, we will try several tools targeted at taking down a web server. These attacks keep TCP sessions open by taking advantage of how TCP connections and HTTP requests work. For example, in a SYN flood attack, the attacker sends a flood of TCP SYN packets to a server but never completes the handshake by replying with</t>
  </si>
  <si>
    <t xml:space="preserve">High | 0.632</t>
  </si>
  <si>
    <t xml:space="preserve">How long do ARP entries persist and why does this matter for attackers?</t>
  </si>
  <si>
    <t xml:space="preserve">~40s expiry; attacker must refresh poisoned entries continually</t>
  </si>
  <si>
    <t xml:space="preserve">**Answer:**  
The provided course material does not specify a duration for which ARP cache entries persist, nor does it explain the implications of that persistence for attackers.</t>
  </si>
  <si>
    <t xml:space="preserve">[Source 1 | Week 5 | Quiz week 1-5 | quiz | dist=0.815]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2 | Week 3 | ARP protocol and ARP spoofing | lecture | dist=0.862]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Virtual lab | lab_instructions | dist=0.984]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4 | Week 3 | Knowledge Check  Attempt review   KEATS | quiz | dist=1.002]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3 | ARP protocol and ARP spoofing | lecture | dist=1.007]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t>
  </si>
  <si>
    <t xml:space="preserve">Medium | 0.934</t>
  </si>
  <si>
    <t xml:space="preserve">Week 3</t>
  </si>
  <si>
    <t xml:space="preserve">TCP handshake</t>
  </si>
  <si>
    <t xml:space="preserve">What are the three steps of the TCP three-way handshake?</t>
  </si>
  <si>
    <t xml:space="preserve">SYN, SYN-ACK, ACK</t>
  </si>
  <si>
    <t xml:space="preserve">**Answer:**
1. **Client → Server: SYN** – The client initiates a connection by sending a TCP segment with the SYN flag set, proposing a random initial sequence number (X).  
2. **Server → Client: SYN + ACK** – The server acknowledges the client’s SYN by replying with a segment that has both SYN and ACK flags set; it includes its own random sequence number (Y) and an ACK number of X + 1.  
3. **Client → Server: ACK** – The client acknowledges the server’s SYN+ACK by sending a final segment with the ACK flag set and an ACK number of Y + 1, completing the handshake and establishing the connection.
These steps are outlined in the Week 3 lecture material on TCP Three‑Way Handshake (Source 2, “Three-Way Handshake” section).</t>
  </si>
  <si>
    <t xml:space="preserve">[Source 1 | Week 3 | TCP SYN flooding attacks | lecture | dist=0.668]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one to the sequence number (in this case, Y+1), and resend it to the server. Upon completion of this process, the TCP Three-Way Handshake is completed and the connection is established. The host and server can communicate. The client also sends the HTTP request over the established TCP connection, ie GET /mypage.html. (represented in the diagram above by the second packet, and final arrow, from server to client). Step 4: the server sends back an HTTP response The server now sends back an HTTP response over the established TCP connection: data = &lt;html&gt; "your page data" &lt;/html&gt;. Please note that this is not part of the Three-Way Handshake but is added in the diagram to demonstrate the communication between the client and server. All these steps are necessary to verify the sequence numbers originated by both sides, guaranteeing the stability of the connection. A DoS attack: SYN flooding A SYN flood attack works by flooding the server with SYN requests but not responding to the server with the expected ACK code. The malicious client can either not send the expected ACK, or (more effectively) spoof the source IP address in the SYN, causing the server to send the SYN+ACK to a falsified IP address. The falsified IP address will not send an ACK because it ‘knows’ that it never sent a SYN. The server will wait for the missing ACK for a while. However, the resources bound on the server may eventually exceed the resources available so that the server cannot connect to any legitimate clients. A SYN flooding attack can be broken down as follows: [Graphic – full-width] Note for ELVD: Hi Kehinde, please could you add step numbers to the diagram (steps are described above). The step 3 is not very clear to students in the original diagram. Let me know if you have any thoughts/questions Figure: A diagram showing a SYN flood attack. View the description below. Caption: [View description] View description A diagram showing a hacker sending multiple spoofed SYN requests to a server and the server sending many SYN+ACK responses to a black hole. A legitimate client sending a SYN request to the server gets no response, resulting a DoS attack. See the explanation below. The attacker sends a high volume of SYN packets to the targeted server, often with spoofed IP addresses. The server then responds to each one of the connection requests by sending a SYN+ACK packet to the falsified IP address. It leaves an open port ready to receive the ACK packet in response – this will never arrive. While the server waits for each ACK packet, the attacker continues to send more SYN packets. The arrival of each new SYN packet
[Source 2 | Week 3 | TCP SYN flooding attacks | lecture | dist=0.865]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3 | Week 4 | Overview and learning outcomes | overview | dist=0.944]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4 | Week 5 | Types of firewalls – part 2 | lecture | dist=0.978]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5 | Week 3 | Knowledge check | quiz | dist=0.983]
or servers the instance has talked to. If you are unsure about the answer, revisit the lesson ‘Denial of service: amplification attacks’ in this week. [Multiple choice question] Question Question number: Question text: An NTP client is trying to synchronise its clock with a server. The four timestamps recorded in the NTP message are: The time the packet leaves the client = 8:00:00am The time the packet arrives at the NTP server = 10:00:05am The time the packet leaves the server = 10:00:08am The time the packet arrives at the client = 8:00:11am What is the offset between the client's clock and the server's clock? Settings Number of answers: [One/Multiple] Shuffle answers? [Yes/No] Answers (Please highlight the correct answer) Feedback (Optional feedback for each individual answer) 4 hours and 2 seconds 2 hours and 1 second 1 hour 1 second 2 hours 59 minutes and 59 seconds General Feedback [Multiple choice question] Question Question number: 6 Question text: Assume a client wants to establish a TCP connection with a web server. What is the first step of TCP Three-Way Handshake? Settings Number of answers: [One/Multiple] Shuffle answers? [Yes/No] Answers (Please highlight the correct answer) Feedback (Optional feedback for each individual answer) the SYN packet from the client to the server the first data packet from the client to the server the SYN packet from the server to the client the ACK packet from the client to the server the SYN+ACK packet from the server to the client General Feedback A TCP 3-Way Handshake is a process which is used to establish a connection between two parties on a network. It includes the exchange of such flags as SYN, SYN/ACK and ACK. If you are unsure about the answer, revisit the lesson ‘TCP SYN flooding attacks’ in this week. [Multiple choice question] Question Question number: Question text: What is the state of a web server under a TCP SYN flooding attack? Settings Number of answers: [One/Multiple] Shuffle answers? [Yes/No] Answers (Please highlight the correct answer) Feedback (Optional feedback for each individual answer) closed SYN-sent SYN-received established listen General Feedback [Multiple choice question] Question Question number: 7 Question text: Which one of the following is a logical collection of internet-connected devices (computers, smartphones or IoT devices) that have been infected and are controlled by a third party. Settings Number of answers: [One/Multiple] Shuffle answers? [Yes/No] Answers (Please highlight the correct answer) Feedback (Optional feedback for each individual answer) an attacker a robot a botnet an automated system a computer network General Feedback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t>
  </si>
  <si>
    <t xml:space="preserve">Medium | 0.888</t>
  </si>
  <si>
    <t xml:space="preserve">ARP spoofing</t>
  </si>
  <si>
    <t xml:space="preserve">In one sentence, what is ARP spoofing?</t>
  </si>
  <si>
    <t xml:space="preserve">Sending spoofed ARP replies to poison a target's ARP cache</t>
  </si>
  <si>
    <t xml:space="preserve">Yes - ARP protocol</t>
  </si>
  <si>
    <t xml:space="preserve">Answer: ARP spoofing is when an attacker sends forged ARP reply messages to a target, causing it to associate a legitimate IP address with the attacker’s MAC address so that traffic destined for the rightful host is redirected through the attacker (Week 3).</t>
  </si>
  <si>
    <t xml:space="preserve">[Source 1 | Week 3 | ARP protocol and ARP spoofing | lecture | dist=0.661]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dist=0.835]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3 | Week 3 | ARP protocol and ARP spoofing | lecture | dist=0.868]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4 | Week 3 | Knowledge check | quiz | dist=0.983]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5 | Week 1 | Network attacks | lecture | dist=0.996]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</si>
  <si>
    <t xml:space="preserve">Medium | 0.868</t>
  </si>
  <si>
    <t xml:space="preserve">How does ARP spoofing work step by step?</t>
  </si>
  <si>
    <t xml:space="preserve">Spoofed reply; poison cache; attacker MAC linked to victim IP; redirect</t>
  </si>
  <si>
    <t xml:space="preserve">**Step‑by‑step process of ARP spoofing (ARP cache poisoning)**  
*(All steps are derived from Week 3 lecture material – “ARP protocol and ARP spoofing”) *
1. **Identify the victim(s) and the target IP(s)**  
   – The attacker (H) discovers the IP address of the victim computer (A) and the IP of the host that A wants to reach (B) – e.g., 10.0.0.1 (A) and 10.0.0.2 (B).  
   – The attacker’s own IP and MAC (10.0.0.3, cc:cc:cc:cc) are known.
2. **Craft a forged ARP reply**  
   – The attacker builds an ARP reply that claims “I am the machine with IP 10.0.0.2 and my MAC is cc:cc:cc:cc.”  
   – The packet contains:  
     *Sender IP* = 10.0.0.2 (IP of B)  
     *Sender MAC* = cc:cc:cc:cc (attacker’s MAC)  
     *Target IP* = 10.0.0.1 (IP of A)  
     *Target MAC* = aa:aa:aa:aa (current MAC of A) – this field is just a placeholder; the packet is unicast to A.
3. **Send the forged reply to the victim**  
   – Because ARP is stateless, the attacker can send this unsolicited reply directly to A (no broadcast needed).  
   – The switch forwards the frame to A’s port.
4. **Victim updates its ARP cache**  
   – A receives the ARP reply, assumes it is legitimate, and updates its ARP table:  
     `10.0.0.2 → cc:cc:cc:cc` (the attacker’s MAC).  
   – The entry overwrites any previous correct mapping (e.g., `10.0.0.2 → bb:bb:bb:bb`).
5. **Traffic is redirected to the attacker**  
   – Subsequent packets that A intends for B (dest‑IP = 10.0.0.2) are now sent to the attacker’s MAC.  
   – The attacker can either drop the packets, forward them on to B (relay) or sniff and modify them – thus executing a man‑in‑the‑middle (MITM) attack.
6. **Repeat for the other side (optional MITM)**  
   – To insert the attacker between both parties, the attacker also poisons B’s ARP cache by sending a similar forged reply claiming “I am A”.  
   – B will then send its traffic to the attacker, enabling a full MITM setup.
7. **Maintain the poisoned state**  
   – ARP cache entries typically expire after ~40 s.  
   – The attacker must continually send spoofed replies at a rate that keeps the cache poisoned, otherwise normal ARP resolution will restore the correct mappings.
**Key points from the lecture**  
- ARP has *no authentication* and is *stateless*, so unsolicited replies are accepted.  
- Poisoning is transparent to the victim; A will not detect that its packets are being diverted.  
- The attack relies solely on the attacker’s ability to send forged ARP replies on the LAN segment.
These steps reflect the example shown in the lecture’s diagram (Week 3, “ARP spoofing” step‑by‑step illustration).</t>
  </si>
  <si>
    <t xml:space="preserve">[Source 1 | Week 3 | ARP protocol and ARP spoofing | lecture | dist=0.771]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dist=0.938]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ARP protocol and ARP spoofing | lecture | dist=0.968]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Demo ARP spoofing and protection | lecture | dist=0.972]
3.4 Demo: ARP spoofing and protection In this lesson, you will see a video demonstration provided by Dr Ievgeniia Kuzminykh on ARP table flooding and protection. First, you will see how ARP requests work and how the switch’s MAC address tables are populated; then, you will see how the attacker can perform MAC flooding; finally, you will learn how we can protect against MAC flooding using switch port security. Please note that this video contains visual demonstrations that may not be fully accessible for some students. You are encouraged to watch the video, but it is not required for your success in this course. You can try this demo at home. For this, you need to download Cisco Packet Tracer simulator; you can find this on the Cisco Networking Academy website and download it for free. You can download the instructions and packet tracer file below. [Download] [Download] This video is from a webinar recording from the previous module (LD: only if video is KD-produced, not needed for 3rd party videos) Demo: ARP spoofing and protection Dr Ievgeniia Kuzminykh Senior Lecturer in Cybersecurity Education View transcript Dr Ievgeniia Kuzminykh | Senior Lecturer in Cybersecurity Education Hi guys, this is my second attempt to explain your ARP protocol and MAC tables flooding. Here you can see a network that consists of two subnetworks. And all the hosts by default, they don't have ARP cache. So we can see no ARP entries. But when we start to access another host, ping or go to the web browser, then our host is starting to fill in ARP entries. Let's try to ping one of the devices [ping 172.16.31.4]. It successfully pinged. And let's see what happened in our table. We have now one entry - MAC address and corresponding IP address. We can also ping another host in the network [ping 172.16.31.3], and here will be one more entry in the table. Also, we could ping the host outside of our local area network [ping 10.10.10.2]. You can see that here is a small timeout because now ARP packets are broadcasted to all devices and they're waiting for reply who has this IP address. At the end, we receive a third entry in our table, and we see that here is IP not of the host that we sent the request to, but the IP of our default gateway. So we cannot see MAC addresses outside of our local area network. If we check here ‘ipconfig’ we can see that this is address of our default gateway, and physically it is this Gig0/0 interface on our Router1. So, switch. Switch also contains this MAC addresses table, and we can see them by running command ‘show mac-address-table'; and it contains all MAC addresses that are assigned to the ports that are, of course, open, no shut down. So that port that is under shut down does display. But what is interesting here? if you start to assign many MACs to the port, it will
[Source 5 | Week 4 | Demo using Cain and Abel for ARP spoofing and DNS poisoning | lecture | dist=1.048]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t>
  </si>
  <si>
    <t xml:space="preserve">Medium | 0.939</t>
  </si>
  <si>
    <t xml:space="preserve">TCP/SYN flooding</t>
  </si>
  <si>
    <t xml:space="preserve">What is a half-open connection in TCP?</t>
  </si>
  <si>
    <t xml:space="preserve">SYN received, SYN-ACK sent, final ACK not yet received</t>
  </si>
  <si>
    <t xml:space="preserve">A half‑open connection occurs when the TCP three‑way handshake is only partially completed.  
For example, a client sends a **SYN**, the server replies with **SYN/ACK**, but the client never sends the final **ACK**. As a result, the server has a connection record in the *half‑open* state: it has allocated resources for the connection but the session is not fully established. Attackers exploit this by flooding a server with such half‑open requests (a SYN flood), exhausting the server’s connection‑handling capacity.  
**Sources**: Week 5 – Types of firewalls (packet‑filtering vs stateful) and the discussion of SYN flood; Week 3 – Virtual lab notes on SYN flood and half‑open connections.</t>
  </si>
  <si>
    <t xml:space="preserve">[Source 1 | Week 5 | Types of firewalls – part 2 | lecture | dist=0.815]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2 | Week 1 | slides | slides | dist=1.021]
A networking example TCP/IP Protocol Architecture Dr Hannah Cao TCP/IP Protocol Architecture SMTP (Email) FTP (file transfer) SSH (remote access) HTTP (web), SIP (VoIP), DNS (name service) TCP (contention-oriented) UDP (connectionless) IP v4, IP v6, Mobile IP OSPF, BGP, RIP ARP, ICMP, CSMA/CD (Ethernet) MACAW (WiFi), PCF, DCF, 802.15.4 (IoT) Twisted pair, optical fiber, satellite, radio Modulation Router Switch PCs, tablets, smart phones etc UTP cable etc. Peer Layers in TCP/IP Protocol Architecture Application byte stream TCP/UDP segment IP packet MAC frame Physical bit stream Alice Bob Networking Example Browsing to www.kcl.ac.uk Browser established a TCP connection with www.kcl.ac.uk server Browser asked for the index webpage using HTTP command GET Browser displayed the page on the screen Sending to Network - Encapsulation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HTTP user data TCP Header HTTP user data Receiving from Network - Decapsulation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Internet IP v4: Src addr = Bob Dest addr = KCL server Network access CSMA/CD Src MAC addr =Bob Dest MAC addr = gateway face 0 Physical Twisted pair Receive from network -decapsulation Default gateway Routing and Sending to Network again Internet IP v4: Src addr = Bob Dest addr = KCL server Network access CSMA/CD Src MAC addr =Bob Dest MAC addr = gateway face 0 Physical Twisted pair Receive from network -decapsulation Default gateway Internet IP v4: Src addr = Bob Dest addr = KCL server Network access 802.11, Src MAC addr =Gateway face1 Dest MAC addr router 1 face0 Physical Twisted pair Internet IP v4: Src addr = Bob Dest addr = KCL server Network access 802.11, Src MAC addr = Gateway inter Dest MAC addr router 1 face0 Physical Twisted pair Receive from network -decapsulation Router 1 Internet IP v4: Src addr = Bob Dest addr = KCL server Network access 802.11, Src MAC addr =router 1 face 1 Dest MAC addr router 2 face 0 Physical Twisted pair Send to network - encapsulation Send to network - encapsulation Routing Routing Routing table Routing table Receiving the Destination – Decapsulation Application HTTP Transport TCP: Src port =2500 Dest port = 80 Internet IP v4: Src addr = Bob Dest addr = KCL server Network access 802.11, Src MAC addr=Router N face1 Dest MAC addr KCL server Physical Twisted pair HTTP user data Router N Internet IP v4: Src addr
[Source 3 | Week 4 | TCP session hijacking | lecture | dist=1.109]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4 | Week 3 | Virtual lab | lab_instructions | dist=1.123]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5 | Week 4 | TCP session hijacking | lecture | dist=1.125]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t>
  </si>
  <si>
    <t xml:space="preserve">Medium | 1.039</t>
  </si>
  <si>
    <t xml:space="preserve">IP spoofing</t>
  </si>
  <si>
    <t xml:space="preserve">What is IP spoofing and why is it used in SYN flooding?</t>
  </si>
  <si>
    <t xml:space="preserve">Forge source IP; SYN-ACKs go elsewhere; attacker avoids RST</t>
  </si>
  <si>
    <t xml:space="preserve">IP spoofing is the deliberate alteration of the **source IP address field in the IP header** of a packet so that the packet appears to originate from another host. In the course lab (Week 4, source 5) this is shown by running `hping3 -a &lt;IP&gt;` which places the supplied IP in the source field; the victim machine therefore believes the traffic came from the spoofed address.
In a SYN‑flooding attack the attacker sends a large volume of TCP SYN packets with the **SYN flag set** (see Week 3, source 2). By spoofing the source IP—often using random or the victim’s address—the attacker prevents the SYN‑ACK responses from reaching it. The target server allocates a half‑open connection for each received SYN and waits for an ACK that never arrives, exhausting its connection table and rendering legitimate connections unavailable. Spoofing also hides the attacker’s identity and can make detection and mitigation more difficult.
Thus, IP spoofing is used in SYN flooding to:
1. **Hide the attacker’s identity** by making the SYN requests appear to come from elsewhere.
2. **Prevent ACK responses from reaching the attacker**, allowing the flood to continue without being acknowledged.
3. **Maximise resource exhaustion** on the target by creating many half‑open connections that the server must keep pending.
Sources:  
- Week 4, Source 5 (IP spoofing with `hping3`)  
- Week 3, Source 2 (SYN flooding description)</t>
  </si>
  <si>
    <t xml:space="preserve">[Source 1 | Week 3 | ARP protocol and ARP spoofing | lecture | dist=0.812]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2 | Week 3 | TCP SYN flooding attacks | lecture | dist=0.835]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3 | Week 3 | Knowledge check | quiz | dist=0.855]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4 | Demo using Cain and Abel for ARP spoofing and DNS poisoning | lecture | dist=0.885]
DNS. Here is, I just pick up randomly, but in reality, if you do this lab or in a normal network also, or to do this properly, here will be already and if the victim goes for example wants to reach the another host in the local area network, his traffic will be redirected to the spoofed IP. Just like you had in the example in the week materials. I'll go back to that slide now. But before I back, so the attacker can go even further and to perform also DNS spoofing. &lt;/p&gt; &lt;p&gt;So, for example, a simple example is like an attacker makes his own web server and plays on this web server, a fake Facebook page. Yes, simple example. And then all users in the local area network who want to reach the facebook.com page, and, you know, DNS resolution will associate facebook.com with some IP address. But this IP address will be already not from real facebook.com, but spoofed already, that belongs to attacker. Yes, so it can be done also easily with this tool. Then here you, here is a domain name and here is IP address associated with this domain name and you click ‘Resolve’ and then it will start work. So all users will be redirected to the web server of the attacker where he placed this Facebook page. Of course, now Norton browsers have protection against this one we tested and the user just log out from the real facebook.com and receive some security notification about that you're suspicious to have this spoofing, so please log in again and so on. But also attackers have special tools to bypass this restriction.&lt;/p&gt;
[Source 5 | Week 4 | Virtual lab | lab_instructions | dist=0.925]
22 What --a &lt;IP of VICTIM-2&gt; does is to spoof the IP address provided and put it in the source field of the IP header of any packets hping3 sends, effectively spoofing it. In other words, when VICTIM-1 receives any packets, it will think the packets come from VICTIM-2. Observe the packets captured on Wireshark in VICTIM-1. What did you observe? Which two machines seem to be talking to each other? What TCP flags are set in the TCP headers? Why? On the ATTACKER, stop sending packets with Ctrl-C. DoS attack with IP spoofing Now, you are going to increase the frequency of hping3 sending spoofed packets with the SYN flag to flood the victim. For that, in the ATTACKER machine, type: sudo hping3 &lt;IP VICTIM-1&gt; -S -a &lt;IP VICTIM-2&gt; -p 22 --flood Again, observe the packets captured on Wireshark. On the victim machine of the denial of service, Wireshark will likely become unresponsive. Either wait for it to catch up (after stopping the flood from the ATTACKER), or force-quit Wireshark (you can do this from a terminal with killall -9 wireshark). In some cases, you may even need to reboot the VM. Stop the flood at any time with Ctrl-C. Basically, --flood does not wait for a response (which will already be sent to the spoofed IP address of VICTIM-2) and does not print anything so as to send as many packets as possible, and to ultimately send packets faster. Finally, go back again to the help of hping3, exploring and trying out further options and attacks. If you are not clear about answers to some of the questions on this page, make a note and ask your tutor to clarify in the next webinar. Play with raw sockets (optional) Would you like to write a program yourself that conducts IP spoofing and SYN flooding instead of using hping3? You can use the open-source educational ‘spoof’ program by Purdue University which shows the source code in C to do IP spoofing. You could extend it to do SYN flooding too. [new page] 3. BGP and DNS This lab can be attempted individually or you can go through it as a group once you are finished with the previous lab and have time. You are going to have some hands-on experience with both BGP and DNS. You will: see how IP packets make it from one point on the internet to another connect to a real internet router serving millions of people make different types of DNS queries and understand real examples of DNS attacks be able to graphically visualise the internet and some of its AS. How do you get from here to there? In this question, you will attempt to identify how routes are constructed across the internet. The standard tool to look at the route from your machine to some other machine is traceroute. First of all, familiarise yourself with traceroute. For that you can run: man traceroute Try traceroute on an internal and an external site,</t>
  </si>
  <si>
    <t xml:space="preserve">Medium | 0.862</t>
  </si>
  <si>
    <t xml:space="preserve">DoS attacks</t>
  </si>
  <si>
    <t xml:space="preserve">What is a Smurf attack?</t>
  </si>
  <si>
    <t xml:space="preserve">ICMP echo broadcast with spoofed victim IP; amplification DoS</t>
  </si>
  <si>
    <t xml:space="preserve">A smurf attack is a distributed denial‑of‑service (DDoS) amplification attack that exploits the ICMP “ping” protocol. The attacker sends a large number of spoofed ICMP echo‑request packets to an IP broadcast address, with the source IP address forged to be that of the intended victim. Every host on the broadcast network responds with an ICMP echo‑reply to the spoofed address, sending a flood of traffic to the victim and overwhelming its resources. This is a classic example of an amplification attack, where a relatively small amount of attacker traffic is multiplied by the responses of many machines on the network.  
(Week 3 – Knowledge Check &amp; Lecture)</t>
  </si>
  <si>
    <t xml:space="preserve">[Source 1 | Week 3 | Knowledge check | quiz | dist=0.813]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3 | Denial of service amplification attacks | lecture | dist=0.883]
3.7 Denial of service: amplification attacks Amplification attack An amplification attack takes place when an attacker is able to use an amplification factor to multiply its power. Amplification attacks are ‘asymmetric’, meaning that a relatively small number or low level of resources is required by an attacker to cause a significantly greater number or higher level of target resources to malfunction or fail. One example of an amplification attack is a smurf attack (PING amplification). Amplification attacks are the base for denial of service (DoS) attacks. [Graphic – full-width] Figure: See the description below. Caption: [View description] View description Diagram of an amplification attack. To begin, there is one attacker with 1 Mbps connection. The attacker connects to 10 compromised trigger machines, each with 1 Gbps connection, resulting in a total of 10 Gbps connection. These trigger machines are then connected to 400 ‘amplifier’ machines, providing an amplification factor of 50. This results in the target being hit with 500 Gbps of traffic. Smurfing attack A smurf attack is a distributed denial of 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A smurf attack scenario can be broken down as follows: Smurf malware is used to generate a fake PING request containing a spoofed source IP, which is actually the target server address. This will make it look like the source IP address generated the PING requests, even though it did not. The request is sent to an intermediate IP broadcast network. The request is transmitted to all of the network hosts on the network. Each host sends an ICMP (PING) response to the spoofed source address. With enough ICMP (PING) responses forwarded, the target server is brought down. NTP amplification attack Another example of an amplification attack is a Network Time Protocol (NTP) amplification DoS attack. An NTP amplification attack is a DoS attack in which an attacker exploits a NTP server functionality in order to overwhelm a targeted network or server with an amplified amount of traffic, rendering the target and its surrounding infrastructure inaccessible to regular traffic. The reference implementation of NTP allows users to request a list of hosts with which the NTP daemon (ntpd) communicated recently. The list, called ‘monlist’, has a size limit of 600 entries and contains the IP addresses of the last NTP clients or servers the instance has talked to. An NTP amplification attack has been broken down for you below. Step 1 [Graphic – full-width] Figure: The attacker spoofing a request from Alice, who is the target, to the NTP server. Caption: Step 1: the attacker uses a botnet to send NTP monlist request packets (carried over User Datagram Protocol (UDP)) with spoofed IP addresses to an NTP server which
[Source 3 | Week 5 | Quiz week 1-5 | quiz | dist=1.165]
[KEATS quiz] 5.14 Week 1–5 Quiz In this quiz, you’ll refresh your memory of material covered in weeks 1 to 5. It includes 16 multiple-choice questions and 1 open-ended question, which contains 3 sub-questions. The questions are similar to those you can expect on the final exam, and they are designed to help you prepare for it. Unlike the weekly knowledge check, this quiz is timed; you will have 30 minutes to complete it. Additionally, you are allowed only 2 attempts. Question page [Multiple choice question] Question Question number: 1 Question text: If an attacker directs a large number of forged requests to a server, what type of attack is being made? Settings Number of answers: [One/Multiple] Shuffle answers? [Yes/No] Answers (Please highlight the correct answer) Feedback (Optional feedback for each individual answer) Smurfing This is incorrect. Source address spoofing This is incorrect. Amplifier This is incorrect. Slowloris This is incorrect. SYN spoofing This is correct. General Feedback (Relevant for the question as a whole. ELCD: This field in KEATS is below ‘Question text’.) [Multiple choice question] Question Question number: 2 Question text: Which type of attack involves the altering of a systems Address Resolution Protocol (ARP) table so that it contains incorrect IP to MAC address mappings? Settings Number of answers: [One/Multiple] Shuffle answers? [Yes/No] Answers (Please highlight the correct answer) Feedback (Optional feedback for each individual answer) Reverse ARP This is incorrect. There is no hacker attack method called reverse ARP. DHCP cache poisoning This is incorrect. There is no such attack. ARP table poisoning Correct. An attacker that can modify the address table for a network device can potentially compromise the network. Modifying the address table with fake entries can cause switches to send frames to wrong nodes. An attacker can compromise the ARP table and change the MAC address so that the IP address points to the attacker’s own MAC address. This type of attack is called an ARP table poisoning attack or a man-in-the-middle attack. ARP cache poisoning This is incorrect. ARP spoofing, ARP cache poisoning, or ARP poison routing, is a technique by which an attacker sends (spoofed) Address Resolution Protocol (ARP) messages onto a local area network. General Feedback [Multiple choice question] Question Question number: 3 Question text: A DMZ (demilitarised zone) is located... Settings Number of answers: [One/Multiple] Shuffle answers? [Yes/No] Answers (Please highlight the correct answer) Feedback (Optional feedback for each individual answer) Right behind your first internet-facing firewall. This is correct. A demilitarised zone is shielded by two firewalls: the first internet-facing firewall, and one facing the private network Right in front of your first internet-facing firewall. This is incorrect. A demilitarised zone is shielded by the internet-facing firewall. It is not placed outside this firewall. Right behind your first network passive internet http firewall. This is incorrect. A demilitarised zone does not need to be placed behind a network passive internet http firewall. It just needs to be placed behind the first internet-facing firewall. Right behind your first network
[Source 4 | Week 5 | Quiz week 1-5 | quiz | dist=1.195]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3 | Virtual lab | lab_instructions | dist=1.24]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t>
  </si>
  <si>
    <t xml:space="preserve">Medium | 1.059</t>
  </si>
  <si>
    <t xml:space="preserve">How does a man-in-the-middle attack using ARP spoofing work?</t>
  </si>
  <si>
    <t xml:space="preserve">Poison both caches; both send to attacker; attacker relays traffic</t>
  </si>
  <si>
    <t xml:space="preserve">A man‑in‑the‑middle (MITM) attack that uses ARP spoofing works by inserting the attacker’s machine (H) into the bidirectional communication path between two legitimate hosts (A and B) on the same LAN. The attacker accomplishes this by poisoning the ARP caches of both hosts so that each host thinks the attacker’s MAC address corresponds to the other host’s IP address. The steps are:
1. **Preparation** – The attacker (H) knows the IP and MAC addresses of both victims (A and B) and is connected to the same Ethernet broadcast domain.
2. **Poisoning A’s cache** – H sends a spoofed ARP reply to A claiming that the MAC address for B’s IP (10.0.0.2 in the example) is H’s MAC (cc:cc:cc:cc). Because ARP is stateless and lacks authentication, A accepts the reply and updates its cache:  
   *IP 10.0.0.2 → MAC cc:cc:cc:cc.*
3. **Poisoning B’s cache** – Symmetrically, H sends a spoofed ARP reply to B claiming that the MAC address for A’s IP is H’s MAC. B updates its cache accordingly.
4. **Traffic interception** – After both caches are poisoned, any packet A intends for B is sent to H (because A thinks H is B). Likewise, packets B sends for A go to H. H now sees all traffic between A and B.
5. **Relay (or manipulation)** – H can forward the packets unmodified to the intended destination, making the MITM invisible to A and B, or he can modify, duplicate, or drop packets to achieve other malicious goals.
This process is fully transparent to A and B; they continue communicating as usual while the attacker has full access to the data stream.  
**Sources:** Week 3 lecture material on ARP spoofing and the specific MITM section (Sources 1–3).</t>
  </si>
  <si>
    <t xml:space="preserve">[Source 1 | Week 3 | ARP protocol and ARP spoofing | lecture | dist=0.733]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dist=0.905]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ARP protocol and ARP spoofing | lecture | dist=0.953]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5 | Quiz week 1-5 | quiz | dist=0.955]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5 | Week 4 | Demo using Cain and Abel for ARP spoofing and DNS poisoning | lecture | dist=0.965]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t>
  </si>
  <si>
    <t xml:space="preserve">Medium | 0.902</t>
  </si>
  <si>
    <t xml:space="preserve">What is a SYN flood attack and how does it cause denial of service?</t>
  </si>
  <si>
    <t xml:space="preserve">Many spoofed SYNs; server allocates state; connection table exhausted</t>
  </si>
  <si>
    <t xml:space="preserve">Yes - TCP handshake</t>
  </si>
  <si>
    <t xml:space="preserve">A SYN‑flood attack is a denial‑of‑service technique that abuses the TCP Three‑Way Handshake.  
In a normal handshake a client sends a SYN packet, the server replies with a SYN+ACK, and the client sends a final ACK. The server can then open a fully established connection.  
In a SYN flood the attacker sends a high volume of SYN packets to the target, but never completes the handshake by sending the final ACK. Each SYN creates a “half‑open” connection entry in the server’s TCP backlog. Because the server expects the ACK to arrive, it keeps the connection state and the associated resources (memory, socket entry, timer) allocated for a timeout period. The attacker can keep sending new SYNs, exhausting the backlog table or the pool of available sockets. Once the server’s resources are consumed, legitimate clients can no longer establish new connections or the server becomes unable to service existing ones, effectively denying service to legitimate users.  
This attack exploits the fact that the TCP protocol requires a three‑step negotiation before data transfer, and that the server must maintain state for incomplete handshakes. By flooding the target with half‑open connections, the attacker forces the server into a resource‑starved state, causing a denial of service.  
Sources: Week 3 (TCP SYN flooding attacks lecture) and Week 3 (Virtual lab instructions).</t>
  </si>
  <si>
    <t xml:space="preserve">[Source 1 | Week 3 | TCP SYN flooding attacks | lecture | dist=0.786]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2 | Week 3 | Denial of service amplification attacks | lecture | dist=0.843]
3.7 Denial of service: amplification attacks Amplification attack An amplification attack takes place when an attacker is able to use an amplification factor to multiply its power. Amplification attacks are ‘asymmetric’, meaning that a relatively small number or low level of resources is required by an attacker to cause a significantly greater number or higher level of target resources to malfunction or fail. One example of an amplification attack is a smurf attack (PING amplification). Amplification attacks are the base for denial of service (DoS) attacks. [Graphic – full-width] Figure: See the description below. Caption: [View description] View description Diagram of an amplification attack. To begin, there is one attacker with 1 Mbps connection. The attacker connects to 10 compromised trigger machines, each with 1 Gbps connection, resulting in a total of 10 Gbps connection. These trigger machines are then connected to 400 ‘amplifier’ machines, providing an amplification factor of 50. This results in the target being hit with 500 Gbps of traffic. Smurfing attack A smurf attack is a distributed denial of 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A smurf attack scenario can be broken down as follows: Smurf malware is used to generate a fake PING request containing a spoofed source IP, which is actually the target server address. This will make it look like the source IP address generated the PING requests, even though it did not. The request is sent to an intermediate IP broadcast network. The request is transmitted to all of the network hosts on the network. Each host sends an ICMP (PING) response to the spoofed source address. With enough ICMP (PING) responses forwarded, the target server is brought down. NTP amplification attack Another example of an amplification attack is a Network Time Protocol (NTP) amplification DoS attack. An NTP amplification attack is a DoS attack in which an attacker exploits a NTP server functionality in order to overwhelm a targeted network or server with an amplified amount of traffic, rendering the target and its surrounding infrastructure inaccessible to regular traffic. The reference implementation of NTP allows users to request a list of hosts with which the NTP daemon (ntpd) communicated recently. The list, called ‘monlist’, has a size limit of 600 entries and contains the IP addresses of the last NTP clients or servers the instance has talked to. An NTP amplification attack has been broken down for you below. Step 1 [Graphic – full-width] Figure: The attacker spoofing a request from Alice, who is the target, to the NTP server. Caption: Step 1: the attacker uses a botnet to send NTP monlist request packets (carried over User Datagram Protocol (UDP)) with spoofed IP addresses to an NTP server which
[Source 3 | Week 3 | TCP SYN flooding attacks | lecture | dist=0.895]
sending a SYN+ACK packet to the falsified IP address. It leaves an open port ready to receive the ACK packet in response – this will never arrive. While the server waits for each ACK packet, the attacker continues to send more SYN packets. The arrival of each new SYN packet causes the server to temporarily maintain a new open port connection for a certain length of time. Once all the available ports have been utilised, the server is unable to function normally. A legitimate client, who is trying to connect to the targeted server, won’t be able to connect with it as the server’s resources are consumed, resulting in a DoS attack.
[Source 4 | Week 3 | Virtual lab | lab_instructions | dist=0.908]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5 | Week 3 | Virtual lab | lab_instructions | dist=0.912]
3.10 Virtual lab 1. Introduction In this lab, you will be performing a denial of service attack using: the MAC tables flooding the DHCP starvation the Slowloris. For the first part of the lab, the ATTACKER and VICTIM are on the same virtual machine. The VICTIM is the default gateway that acts as a DHCP server and leases the IP addresses to the devices in the network. For the Slowloris attack, you will need two virtual machines: the ATTACKER and VICTIM running web server. Continue to the next page to start with the MAC table flood. [new page] 2. MAC table flood An attack that floods the MAC table of a switch is called a MAC flood attack or MAC overflow attack. In this example, we’ll see how easy it is to launch such an attack using Kali Linux. How a switch manages traffic First, let’s understand how a switch manages traffic. A switch uses a Content Addressable Memory (CAM) table, also called a switching table, to map the MAC address of each connected device to the physical switch port it’s connected to. This allows the switch to forward data only to the correct destination port, making network traffic much more efficient. When the CAM table is working properly, it maintains many MAC-to-port pairings. However, in a MAC flood attack, the attacker uses tools like macof to send a large number of fake MAC addresses to the switch. This quickly fills up the CAM table with bogus entries. Once the table is full, the switch can no longer learn legitimate MAC addresses and doesn’t know where to send frames. When this happens, the switch enters a fail-open mode and starts acting like a hub – sending traffic out to all ports instead of only to the intended destination. This makes it easy for an attacker to capture traffic with a packet sniffer. Starting a MAC flood attack Now let’s see how to perform a MAC flood attack and observe the results. First of all, open Wireshark by opening the Terminal and typing wireshark Select the interface for capturing data eth0. In another Terminal, type the command: macof Once the attack starts, notice how the bandwidth spikes as the tool floods the switch with fake entries, observing the entries in Wireshark. What source and destination IP do you see? What source and destination MAC addresses do you see? [View answer (no academic)] View answer In Wireshark, you should notice the traffic, more specifically packets with null or random IP addresses, random port numbers, and random MAC addresses, generated to overflow the switch’s MAC address table. To stop the attack, press Ctrl+C. For the attack to work, macof must keep sending fake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t>
  </si>
  <si>
    <t xml:space="preserve">Medium | 0.869</t>
  </si>
  <si>
    <t xml:space="preserve">Name two countermeasures for SYN flood attacks and how they help.</t>
  </si>
  <si>
    <t xml:space="preserve">Two of: SYN cookies, rate limiting, timeout reduction, table sizing</t>
  </si>
  <si>
    <r>
      <rPr>
        <sz val="9"/>
        <color rgb="FF1F2937"/>
        <rFont val="Arial"/>
        <family val="0"/>
        <charset val="1"/>
      </rPr>
      <t xml:space="preserve">**Answer**
Two commonly‑used counter‑measures against TCP SYN‑flood attacks are:
1. **SYN cookies** – The server encodes the initial sequence number into a cryptographic cookie instead of creating a half‑open connection table entry. When the final ACK arrives, the server validates the cookie and only then allocates resources for the connection. This prevents an attacker from exhausting the server’s connection table because no resources are consumed until the handshake is fully completed.  
2. **Rate limiting (SYN‑packet filtering / connection‑table throttling)** – The network or host limits the number of SYN packets accepted per unit time or per source. By dropping or queuing excess SYNs, the system thwarts a flood of half‑open connections and preserves capacity for legitimate clients.
These techniques are mentioned in the course quiz material as options for preventing SYN‑based attacks (e.g., “Use SYN cookies” and “Impose rate limits on network links”)</t>
    </r>
    <r>
      <rPr>
        <sz val="9"/>
        <color rgb="FF1F2937"/>
        <rFont val="Noto Sans CJK SC"/>
        <family val="2"/>
      </rPr>
      <t xml:space="preserve">【</t>
    </r>
    <r>
      <rPr>
        <sz val="9"/>
        <color rgb="FF1F2937"/>
        <rFont val="Arial"/>
        <family val="0"/>
        <charset val="1"/>
      </rPr>
      <t xml:space="preserve">Source 4 | Week 5</t>
    </r>
    <r>
      <rPr>
        <sz val="9"/>
        <color rgb="FF1F2937"/>
        <rFont val="Noto Sans CJK SC"/>
        <family val="2"/>
      </rPr>
      <t xml:space="preserve">】</t>
    </r>
    <r>
      <rPr>
        <sz val="9"/>
        <color rgb="FF1F2937"/>
        <rFont val="Arial"/>
        <family val="0"/>
        <charset val="1"/>
      </rPr>
      <t xml:space="preserve">.</t>
    </r>
  </si>
  <si>
    <t xml:space="preserve">[Source 1 | Week 3 | TCP SYN flooding attacks | lecture | dist=0.943]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2 | Week 3 | Virtual lab | lab_instructions | dist=0.994]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3 | Week 3 | ARP protocol and ARP spoofing | lecture | dist=1.038]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4 | Week 5 | 3.16 Quiz week 1-3  Attempt review   KEATS | quiz | dist=1.039]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must maintain mappings for the entire DNS structure c. DNS servers are programmed to drop requests for name translations that are not within their zone d.DNS servers can cache recent queries to reduce DNS query traﬃc. Your answer is incorrect. What are some ways to prevent SYN spooﬁng attacks? a.All of the above b.Use selective or random dropping of TCP table entries c. None of the above d.Use SYN cookies e.Impose rate limits on network links f. Modify the size of the TCP connections table or timeout period Your answer is incorrect. v2 (latest) v2 (latest) Firewalls are what type of mechanisms? a.Botnet b.Attack c. Prevention d.None of the above Your answer is incorrect. The disadvantages of locating a honeypot in an internal network are: a.It leads to honey ﬁles, which are malicous byproducts of the prolonged use of the honeypot. b.If it is compromised, it can attack other internal systems and its location requires the outer ﬁrewall to permit traﬃc through its ﬁlters. c. It has little or no ability to trap internal attackers and it cannot detect a misconﬁgured ﬁrewall. d.It puts more load on the external ﬁrewall and on the resources of the internal system. e.It leads to a honey do list, which can ruin a Saturday. Your answer is incorrect. v2 (latest) v2 (latest) v2 (latest) Several analysis methods can be employed by an IDS, each with its own strengths and weaknesses, and their applicability to any given situation should be carefully considered. There are two basic IDS analysis methods that exist. Which of the basic method is more prone to false positive? a.Network-based intrusion detection b.Host-based intrusion detection c. Anomaly Detection d.Pattern Matching (also called signature analysis) Your answer is incorrect. In a TCP spooﬁng attack, attacker ideally wishes to use addresses that will not respond to the SYN-ACK with a RST. Select one: True False In the context of IDS systems a false negative is when a authorized user is identiﬁed as an intruder and a false positive is identiﬁed where intruders are not identiﬁed as intruders. Select one: True False v2 (latest) The SNORT system is a signature-based NIDS. Select one: True False 
[Source 5 | Week 4 | Virtual lab | lab_instructions | dist=1.053]
22 What --a &lt;IP of VICTIM-2&gt; does is to spoof the IP address provided and put it in the source field of the IP header of any packets hping3 sends, effectively spoofing it. In other words, when VICTIM-1 receives any packets, it will think the packets come from VICTIM-2. Observe the packets captured on Wireshark in VICTIM-1. What did you observe? Which two machines seem to be talking to each other? What TCP flags are set in the TCP headers? Why? On the ATTACKER, stop sending packets with Ctrl-C. DoS attack with IP spoofing Now, you are going to increase the frequency of hping3 sending spoofed packets with the SYN flag to flood the victim. For that, in the ATTACKER machine, type: sudo hping3 &lt;IP VICTIM-1&gt; -S -a &lt;IP VICTIM-2&gt; -p 22 --flood Again, observe the packets captured on Wireshark. On the victim machine of the denial of service, Wireshark will likely become unresponsive. Either wait for it to catch up (after stopping the flood from the ATTACKER), or force-quit Wireshark (you can do this from a terminal with killall -9 wireshark). In some cases, you may even need to reboot the VM. Stop the flood at any time with Ctrl-C. Basically, --flood does not wait for a response (which will already be sent to the spoofed IP address of VICTIM-2) and does not print anything so as to send as many packets as possible, and to ultimately send packets faster. Finally, go back again to the help of hping3, exploring and trying out further options and attacks. If you are not clear about answers to some of the questions on this page, make a note and ask your tutor to clarify in the next webinar. Play with raw sockets (optional) Would you like to write a program yourself that conducts IP spoofing and SYN flooding instead of using hping3? You can use the open-source educational ‘spoof’ program by Purdue University which shows the source code in C to do IP spoofing. You could extend it to do SYN flooding too. [new page] 3. BGP and DNS This lab can be attempted individually or you can go through it as a group once you are finished with the previous lab and have time. You are going to have some hands-on experience with both BGP and DNS. You will: see how IP packets make it from one point on the internet to another connect to a real internet router serving millions of people make different types of DNS queries and understand real examples of DNS attacks be able to graphically visualise the internet and some of its AS. How do you get from here to there? In this question, you will attempt to identify how routes are constructed across the internet. The standard tool to look at the route from your machine to some other machine is traceroute. First of all, familiarise yourself with traceroute. For that you can run: man traceroute Try traceroute on an internal and an external site,</t>
  </si>
  <si>
    <t xml:space="preserve">Medium | 1.013</t>
  </si>
  <si>
    <t xml:space="preserve">Why can't ARP spoofing typically be performed across different subnets?</t>
  </si>
  <si>
    <t xml:space="preserve">ARP is link-local (L2); doesn't cross routers/subnet boundaries</t>
  </si>
  <si>
    <t xml:space="preserve">ARP spoofing relies on manipulating a host’s ARP cache, which maps IP addresses to MAC addresses for nodes that reside in the same **broadcast domain (sub‑net)**.  
* In the course material (Week 3, Source 1 and Source 4) we see that an ARP request is **broadcast** to all stations on the local Ethernet segment and that only the target host replies with a unicast ARP reply.  
* Routers do not forward ARP packets between sub‑nets; they only forward IP packets. Consequently, a host on one sub‑net will only have a valid ARP entry for the MAC address of its default gateway.  
* An attacker that is not on the same sub‑net cannot see the ARP requests that the victim host sends, nor can it inject spoofed ARP replies into that broadcast domain. Without receiving the victim’s ARP request (or without being on the same segment), the ARP cache entry for the target IP cannot be poisoned.
Therefore ARP spoofing can only be performed **within the same sub‑net** because ARP is a link‑layer protocol confined to a local broadcast domain and routers do not propagate ARP traffic between sub‑nets.</t>
  </si>
  <si>
    <t xml:space="preserve">[Source 1 | Week 3 | ARP protocol and ARP spoofing | lecture | dist=0.881]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dist=1.0]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3 | Week 4 | Demo using Cain and Abel for ARP spoofing and DNS poisoning | lecture | dist=1.156]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
[Source 4 | Week 3 | ARP protocol and ARP spoofing | lecture | dist=1.196]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5 | Week 3 | Demo ARP spoofing and protection | lecture | dist=1.296]
3.4 Demo: ARP spoofing and protection In this lesson, you will see a video demonstration provided by Dr Ievgeniia Kuzminykh on ARP table flooding and protection. First, you will see how ARP requests work and how the switch’s MAC address tables are populated; then, you will see how the attacker can perform MAC flooding; finally, you will learn how we can protect against MAC flooding using switch port security. Please note that this video contains visual demonstrations that may not be fully accessible for some students. You are encouraged to watch the video, but it is not required for your success in this course. You can try this demo at home. For this, you need to download Cisco Packet Tracer simulator; you can find this on the Cisco Networking Academy website and download it for free. You can download the instructions and packet tracer file below. [Download] [Download] This video is from a webinar recording from the previous module (LD: only if video is KD-produced, not needed for 3rd party videos) Demo: ARP spoofing and protection Dr Ievgeniia Kuzminykh Senior Lecturer in Cybersecurity Education View transcript Dr Ievgeniia Kuzminykh | Senior Lecturer in Cybersecurity Education Hi guys, this is my second attempt to explain your ARP protocol and MAC tables flooding. Here you can see a network that consists of two subnetworks. And all the hosts by default, they don't have ARP cache. So we can see no ARP entries. But when we start to access another host, ping or go to the web browser, then our host is starting to fill in ARP entries. Let's try to ping one of the devices [ping 172.16.31.4]. It successfully pinged. And let's see what happened in our table. We have now one entry - MAC address and corresponding IP address. We can also ping another host in the network [ping 172.16.31.3], and here will be one more entry in the table. Also, we could ping the host outside of our local area network [ping 10.10.10.2]. You can see that here is a small timeout because now ARP packets are broadcasted to all devices and they're waiting for reply who has this IP address. At the end, we receive a third entry in our table, and we see that here is IP not of the host that we sent the request to, but the IP of our default gateway. So we cannot see MAC addresses outside of our local area network. If we check here ‘ipconfig’ we can see that this is address of our default gateway, and physically it is this Gig0/0 interface on our Router1. So, switch. Switch also contains this MAC addresses table, and we can see them by running command ‘show mac-address-table'; and it contains all MAC addresses that are assigned to the ports that are, of course, open, no shut down. So that port that is under shut down does display. But what is interesting here? if you start to assign many MACs to the port, it will</t>
  </si>
  <si>
    <t xml:space="preserve">Low | 1.106</t>
  </si>
  <si>
    <t xml:space="preserve">Week 4</t>
  </si>
  <si>
    <t xml:space="preserve">Session hijacking</t>
  </si>
  <si>
    <t xml:space="preserve">What is session hijacking?</t>
  </si>
  <si>
    <t xml:space="preserve">Taking over an authenticated session for unauthorised access</t>
  </si>
  <si>
    <t xml:space="preserve">Session hijacking is an attack in which an adversary intercepts the traffic between two communicating entities (such as a client and a server), gains knowledge of the current session state (e.g., sequence numbers), and then injects its own packets into the established session. By doing so the attacker can take control of the communication channel, masquerading as either party, alter, redirect, or simply observe the data being exchanged without the legitimate participants noticing. This can occur on‑path, where the attacker is inside the network and can sniff packets, or off‑path, where the attacker must guess the necessary sequence numbers to inject packets.  
**Sources**: Week 5 quiz (session hijacking definition), Week 4 lectures on TCP session hijacking.</t>
  </si>
  <si>
    <t xml:space="preserve">[Source 1 | Week 5 | Quiz week 1-5 | quiz | dist=1.041]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2 | Week 4 | This week’s webinar | webinar | dist=1.042]
4.12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Can you discuss TCP session hijacking by an on-path adversary? Can you explain how iterative DNS queries work and how this can be exploited to poison caches? Can you explain how BGP routes can be hijacked and how the 'network black holes' are created?
[Source 3 | Week 4 | TCP session hijacking | lecture | dist=1.142]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4 | Week 4 | TCP session hijacking | lecture | dist=1.155]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5 | Week 1 | Network attacks | lecture | dist=1.179]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</si>
  <si>
    <t xml:space="preserve">Low | 1.112</t>
  </si>
  <si>
    <t xml:space="preserve">DNS poisoning</t>
  </si>
  <si>
    <t xml:space="preserve">What is DNS poisoning?</t>
  </si>
  <si>
    <t xml:space="preserve">Corrupting DNS cache with false IP-domain mappings; redirects users</t>
  </si>
  <si>
    <t xml:space="preserve">DNS poisoning (also known as DNS cache poisoning) is a type of attack in which an adversary injects false DNS records into a DNS server’s cache. When a local recursive resolver receives a legitimate query for a domain such as www.google.com, the attacker responds before the authoritative server can reply, supplying a fraudulent IP address (e.g., the attacker’s own server). The resolver then stores this bogus mapping, so subsequent queries for that domain are resolved to the attacker’s IP instead of the legitimate host. This can redirect users to malicious sites and, when combined with website spoofing, can lead to credential theft or other compromises. (Week 4 lecture, DNS and DNS cache poisoning)</t>
  </si>
  <si>
    <t xml:space="preserve">[Source 1 | Week 4 | DNS and DNS cache poisoning | lecture | dist=0.744]
one of the top-level DNS servers responsible for ‘com’ which were provided by the root DNS server. Then the top-level DNS server finds a suffix google.com and returns to the local DNS server with an IP address of the authoritative DNS server for google, ie google.com. Finally, the local DNS server sends the same query again to the authoritative DNS server dns.google.com. In a poisoning attack, however, before the authoritative DNS server replies with the IP address of www.google.com (eg aa:aa:aa:aa), an attacker replies to the request indicating a specific IP address that belongs to the attacker (eg bb:bb:bb:bb). So, the local DNS server will record in its cache that www.google.com is the IP of the attacker (bb:bb:bb:bb) and every time a client requests the IP address of www.google.com, the DNS server will return the poisoned entry. Using DNS poisoning, an attacker can point users to wherever they want – however, most of the time, this technique is combined with website spoofing. For example, imagine a client trying to get access to their online bank account; a wireless router with a DNS poisoned server redirects the client’s request to the attacker. The attacker takes the request, modifies it and sends it to the legitimate bank, pretending to be the client. The bank will respond to the attacker with the client’s data and the bank account is compromised. ---------------------------------------------- Note for ELCD: please do not build the following questions – they are moved to 4.10 Knowledge Check and only kept here for reference Add quiz questions covering this topic to the end of week quiz. In the recursive approach, between steps 4 and 5, where does the authoritative DNS forward the response to? DNS Local DNS Root DNS TLD DNS Authoritative Correct is DNS TLD, for more information go to section x.x In the iterative approach, between steps 1 and 2, where does the Local DNS server check first? 'User DNS Local DNS Root DNS TLD DNS Authoritative Correct is DNS Root, for more information go to section x.x
[Source 2 | Week 4 | DNS and DNS cache poisoning | lecture | dist=0.801]
4.7 DNS and DNS cache poisoning Humans access information online through domain names, like nytimes.com or espn.com because we find it easier to remember these names rather than plain IP addresses. However, web browsers interact through Internet Protocol (IP) addresses. The Domain Name System translates domain names to IP addresses so browsers can load internet resources. [Key concept box] The Domain Name System (DNS) is like the phonebook of the internet. Each device connected to the internet has a unique IP address which other machines use to find the device. DNS servers eliminate the need for humans to memorise IP addresses such as 192.168.1.1 (in IPv4), or more complex, newer, alphanumeric IP addresses such as 2400:cb00:2048:1::c629:d7a2 (in IPv6). Historically, this mapping was kept in a local file. However, as the internet keeps evolving, it became necessary to create a system that was scalable. This is the DNS. DNS has a hierarchical structure composed of three servers. [Graphic – full-width] Figure: DNS server hierarchy: root server at the top, branching out into TLD servers, branching out into authoritative servers. Caption: [Card vertical (no image)] Root name server The root server is the first step in translating (resolving) human readable host names into IP addresses. It can be thought of like an index in a library that points to different aisles of bookshelves. Typically, it serves as a reference to other more specific locations. [Card vertical (no image)] TLD name server The top-level domain server (TLD) can be thought of as a specific shelf of books in a library. This name server is the next step in the search for a specific IP address, and it hosts the last portion of a hostname (in google.com, the TLD server is ‘com’). [Card vertical (no image)] Authoritative name server This final name server can be thought of as a dictionary on a shelf of books, in which a specific name can be translated into its definition. The authoritative name server is the last stop in the name server query. If the authoritative name server has access to the requested record, it will return the IP address for the requested hostname back to the DNS recursor (aka the librarian) that made the initial request. You’ll notice that a ‘DNS recursor’ was mentioned above, and compared to the librarian who was asked to go find a particular book in the library scenario. The DNS recursor is a server designed to receive queries from client machines through applications such as web browsers. Typically, the recursor is then responsible for making additional requests in order to satisfy the client’s DNS query. There are two ways to interrogate a DNS server: iteratively or recursively. Iterative approach Let's have a look at how an iterative approach works. DNS queries always start at the root. The root will direct your query to one of its TLD name servers. Then you make a query to the TLD name server, and that name server redirects you to one of the authoritative name servers.
[Source 3 | Week 3 | Knowledge check | quiz | dist=1.048]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5 | 3.16 Quiz week 1-3  Attempt review   KEATS | quiz | dist=1.066]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must maintain mappings for the entire DNS structure c. DNS servers are programmed to drop requests for name translations that are not within their zone d.DNS servers can cache recent queries to reduce DNS query traﬃc. Your answer is incorrect. What are some ways to prevent SYN spooﬁng attacks? a.All of the above b.Use selective or random dropping of TCP table entries c. None of the above d.Use SYN cookies e.Impose rate limits on network links f. Modify the size of the TCP connections table or timeout period Your answer is incorrect. v2 (latest) v2 (latest) Firewalls are what type of mechanisms? a.Botnet b.Attack c. Prevention d.None of the above Your answer is incorrect. The disadvantages of locating a honeypot in an internal network are: a.It leads to honey ﬁles, which are malicous byproducts of the prolonged use of the honeypot. b.If it is compromised, it can attack other internal systems and its location requires the outer ﬁrewall to permit traﬃc through its ﬁlters. c. It has little or no ability to trap internal attackers and it cannot detect a misconﬁgured ﬁrewall. d.It puts more load on the external ﬁrewall and on the resources of the internal system. e.It leads to a honey do list, which can ruin a Saturday. Your answer is incorrect. v2 (latest) v2 (latest) v2 (latest) Several analysis methods can be employed by an IDS, each with its own strengths and weaknesses, and their applicability to any given situation should be carefully considered. There are two basic IDS analysis methods that exist. Which of the basic method is more prone to false positive? a.Network-based intrusion detection b.Host-based intrusion detection c. Anomaly Detection d.Pattern Matching (also called signature analysis) Your answer is incorrect. In a TCP spooﬁng attack, attacker ideally wishes to use addresses that will not respond to the SYN-ACK with a RST. Select one: True False In the context of IDS systems a false negative is when a authorized user is identiﬁed as an intruder and a false positive is identiﬁed where intruders are not identiﬁed as intruders. Select one: True False v2 (latest) The SNORT system is a signature-based NIDS. Select one: True False 
[Source 5 | Week 4 | Cyber M3 Week 4 outline | outline | dist=1.08]
Note for the Module lead: please focus on the subheading titles and the structure. The columns entitled ‘Activity labels’ and ‘Delivery format’ are for the King’s Digital build team. Week 4: Hijacking and poisoning attacks No. Activity title Activity label/s [Media / Group / Assessed] Delivery format Welcome to week 4 4.1 Overview and learning outcomes KEATS book 4.2 Week 4 general discussion KEATS forum Hijacking and poisoning 4.3 TCP session hijacking KEATS book 4.4 Example of routing in real life KEATS book 4.5 BGP protocol media KEATS book 4.6 Routing black holes media KEATS forum 4.7 DNS and DNS cache poisoning KEATS book 4.8 Demo: using Cain and Abel for ARP spoofing and DNS poisoning media KEATS book Virtual lab 4.9 Virtual Lab Group KEATS book Consolidation and reflection 4.10 Knowledge check KEATS quiz 4.11 Reflect on your learning KEATS questionnaire 4.12 This week’s webinar KEATS book</t>
  </si>
  <si>
    <t xml:space="preserve">Medium | 0.948</t>
  </si>
  <si>
    <t xml:space="preserve">What is the difference between active and passive session hijacking?</t>
  </si>
  <si>
    <t xml:space="preserve">Active = inject/take over; Passive = monitor/record without altering</t>
  </si>
  <si>
    <t xml:space="preserve">Passive session hijacking is a form of session hijacking in which the attacker merely observes the traffic and records the data being exchanged.  The attacker does **not** alter any of the packets, inject new data, or affect the session state; the session continues normally between the legitimate parties, while the attacker sits back and listens.
Active session hijacking, on the other hand, involves the attacker taking control of the session and actively modifying or injecting traffic.  The attacker may inject new packets, alter existing ones, or terminate the session, thereby changing the behaviour of the conversation between the legitimate parties.
**Key difference**
| Feature | Passive session hijacking | Active session hijacking |
|---------|---------------------------|--------------------------|
| **Action on traffic** | No modification, just eavesdropping | Injection, alteration, or termination of packets |
| **Impact on session** | Session remains unchanged for the legitimate users | Session is altered or disrupted by the attacker |
These definitions are drawn from the quiz question on passive session hijacking in Week 5 (source 1) and the general discussion of session hijacking in the Week 1 lecture (source 3).</t>
  </si>
  <si>
    <t xml:space="preserve">[Source 1 | Week 5 | Quiz week 1-5 | quiz | dist=1.112]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2 | Week 1 | Knowledge check | quiz | dist=1.21]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1 | Network attacks | lecture | dist=1.211]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4 | TCP session hijacking | lecture | dist=1.29]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5 | Week 5 | Quiz week 1-5 | quiz | dist=1.293]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t>
  </si>
  <si>
    <t xml:space="preserve">Low | 1.223</t>
  </si>
  <si>
    <t xml:space="preserve">MITM attacks</t>
  </si>
  <si>
    <t xml:space="preserve">What is a man-in-the-middle attack and what does it enable?</t>
  </si>
  <si>
    <t xml:space="preserve">Intercept comms between two parties; read/modify/relay transparently</t>
  </si>
  <si>
    <t xml:space="preserve">A man‑in‑the‑middle (MITM) attack is when an attacker positions themselves between two legitimate network participants and intercepts the traffic that flows between them.  
The attacker can then:
* **Eavesdrop** on the communication to read or record data.  
* **Modify** or inject messages before forwarding them to the intended recipient.  
* **Impersonate** one of the parties, making the victim think they are speaking directly to the legitimate host.  
In the context of the course material, MITM is discussed as a form of ARP spoofing / ARP poisoning (Week 3 lecture and Week 5 quiz), where an attacker spoofs ARP replies to poison the ARP cache of both parties, becoming the intermediary that relays their traffic.</t>
  </si>
  <si>
    <t xml:space="preserve">[Source 1 | Week 3 | Knowledge check | quiz | dist=1.037]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3 | ARP protocol and ARP spoofing | lecture | dist=1.119]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3 | Week 3 | Virtual lab | lab_instructions | dist=1.219]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4 | Week 5 | Quiz week 1-5 | quiz | dist=1.233]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1 | Knowledge check PDF | quiz | dist=1.243]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t>
  </si>
  <si>
    <t xml:space="preserve">Low | 1.17</t>
  </si>
  <si>
    <t xml:space="preserve">DHCP attacks</t>
  </si>
  <si>
    <t xml:space="preserve">What is DHCP cache poisoning and how does it work?</t>
  </si>
  <si>
    <t xml:space="preserve">Rogue DHCP server gives false config; redirects client traffic</t>
  </si>
  <si>
    <t xml:space="preserve">The provided course material does not contain any description of “DHCP cache poisoning,” nor does it explain its mechanism. Therefore I cannot answer this question based on the supplied resources.</t>
  </si>
  <si>
    <t xml:space="preserve">Correctly declined: DHCP cache poisoning is absent from the retrieved material.</t>
  </si>
  <si>
    <t xml:space="preserve">[Source 1 | Week 3 | DHCP attacks | lecture | dist=0.726]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2 | Week 3 | DHCP attacks | lecture | dist=0.796]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3 | Week 3 | DHCP attacks | lecture | dist=0.9]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4 | Week 3 | Virtual lab | lab_instructions | dist=1.003]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5 | Week 5 | 3.16 Quiz week 1-3  Attempt review   KEATS | quiz | dist=1.014]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t>
  </si>
  <si>
    <t xml:space="preserve">What is the difference between network-level and application-level hijacking?</t>
  </si>
  <si>
    <t xml:space="preserve">Network = TCP sequence; Application = steal HTTP session tokens</t>
  </si>
  <si>
    <t xml:space="preserve">Network‑level hijacking manipulates protocols or infrastructure that sit below the application layer (typically the IP, routing, or link layers) to divert or intercept traffic.  Examples from the course are BGP hijacking (Week 4), where a malicious autonomous system advertises false routes and pulls traffic destined for another prefix, or ARP spoofing/MAC‑flooding (Week 3), where an attacker corrupts the address‑resolution table or exhausts switch memory so that packets are forwarded to the wrong host or flooded to all ports.  In these cases the attacker does not need to understand or alter application data; the attack succeeds by changing the path that packets take through the network.
Application‑level hijacking, by contrast, targets the application layer (OSI layer 7).  It takes control of an established session or protocol instance after the packet has already traversed the network layer.  The course discusses application‑level gateways (Week 5) that act as proxies and inspect application data, and the definition of “hijacking” in the Week 1 knowledge check, which describes taking over a resource that “belongs to someone else.”  Typical application‑level hijacks include session hijacking or HTTP/FTP proxy takeover, where the attacker either injects or alters application messages, steals session cookies, or otherwise forces the client to communicate with the attacker instead of the legitimate server.  The attack requires understanding the application protocol and the session state, rather than merely redirecting traffic.
**Key differences**
| Aspect | Network‑level hijacking | Application‑level hijacking |
|--------|------------------------|-----------------------------|
| OSI layer | 3 (network) or 2 (link) | 7 (application) |
| Target | Routing tables, ARP cache, BGP announcements, switch MAC tables | Session cookies, protocol state, application data |
| Typical method | Spoofing addresses, announcing false routes, flooding switch memory | Injecting forged packets, hijacking TCP sessions, manipulating HTTP headers |
| Visibility | Often invisible to end‑users; traffic is simply redirected | Often noticeable through abnormal application behaviour; the user may see incorrect content or a different server |
| Mitigation | Route filtering, BGP security extensions, ARP spoofing detection | Secure session management, TLS, application‑level gateways, deep packet inspection |
Thus, network‑level hijacking redirects traffic by subverting the lower layers of the networking stack, whereas application‑level hijacking takes control of or impersonates a higher‑level session after the traffic has already reached the application layer.</t>
  </si>
  <si>
    <t xml:space="preserve">[Source 1 | Week 5 | Types of firewalls – part 2 | lecture | dist=1.038]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2 | Week 1 | Knowledge check | quiz | dist=1.076]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3 | ARP protocol and ARP spoofing | lecture | dist=1.097]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4 | Week 5 | Types of firewalls – part 2 | lecture | dist=1.111]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5 | Week 4 | BGP hijacking | lecture | dist=1.111]
[KEATS forum] 4.6 BGP hijacking Why BGP is unsafe BGP was designed in the early days of the internet, when trust between networks was assumed, and is built on the assumption that interconnected networks are telling the truth about which IP addresses they own. By default, it has no built-in security or authentication, any autonomous system can advertise any route, and others will accept it unless they manually filter it. This creates two major risks: Route leaks: this type of risk occurs when an AS accidentally announces routes it shouldn’t, sending traffic through the wrong paths and making some networks unreachable. BGP hijacking: this type of risk occurs when the attackers maliciously reroute internet traffic. Attackers accomplish this by falsely announcing ownership of groups of IP addresses, called IP prefixes, that they do not actually own, control or route to. A BGP hijack is much like if someone were to change out all the signs on a stretch of motorway and reroute automobile traffic onto incorrect exits. Because the internet relies on thousands of ASes constantly exchanging route updates, even a small error or malicious action can cause large-scale outages or traffic redirection. In the following video, Dr Hannah Cao explains how the BGP routes can be hijacked. Start from 12:50 till 16:31 ------- Final video Kaltura link: W4.6 BGP Route Hijacking - King’s College London (LD: only if video is KD-produced, not needed for 3rd party videos) BGP Route Hijacking Dr Hannah Cao Senior Lecturer in Computer Science Education View transcript Dr Hannah Cao | Senior Lecturer in Computer Science Education BGP route hijacking or prefix hijacking happens when an autonomous system announces route to IP prefixes that it does not actually control. Such false information is added to routine tables in BGP routers across the Internet, causing traffic being directed to the wrong subnet or to a blackhole. Let's carry on with the diagram we saw just now, where AS80 is able to route to subnet 10.100.0.0/16 and has sent out a BGP route advertisement to AS180. Imagine there are two more AS in the pictures, AS70 and AS20. AS20 is a malicious one and decides to mount a BGP route hijacking attack. AS20 lies about its reachability to the subnet 10.100.0.0/16 by establishing eBGP connections with gateway routers in AS70 and AS180, except one, as shown by the red connection in the diagram, after successfully blocking or hijacking the TCP connections between gateway routers in AS80 and AS180. And such false information will be propagated across all the routers or the BGP routers on the Internet. Sometimes, BGP route hijacking happens in the form of BGP sub-prefix hijacking. When the attacker lies about a subset of the prefix rather than the whole prefix belonging to another autonomous system. In the diagram, which we saw just now, AS20, the malicious one, announces that it can route to the subnet 10.100.0.0/24, instead of /16. In this case, AS20 does not need to interfere with the eBGP connections between gateway</t>
  </si>
  <si>
    <t xml:space="preserve">What is a TCP sequence number and why does it matter for hijacking?</t>
  </si>
  <si>
    <t xml:space="preserve">Tracks packet order; predicting it lets attacker inject packets</t>
  </si>
  <si>
    <t xml:space="preserve">A TCP sequence number is a 32‑bit field in the TCP header that identifies the first byte of data in a given segment (see Source 1 Week 4).  
The sequence number allows the receiver to re‑assemble the byte stream in the correct order, detect duplicate or out‑of‑order segments, and provide reliability by using acknowledgements that refer to the next expected sequence number (acknowledgement number).  
In a TCP session hijacking attack the attacker must inject forged packets into an existing connection. For those packets to be accepted by the victim, their sequence numbers must match the sequence numbers the victim is expecting. If the attacker guesses or predicts the current sequence number (or the initial sequence number, ISN, used when the connection was established) correctly, the victim will treat the injected data as part of the legitimate stream and may execute commands or receive data that the attacker supplied. If the sequence numbers are wrong, the packets will be discarded or cause a reset. Therefore, accurate knowledge or prediction of the TCP sequence number is essential for a successful hijack.</t>
  </si>
  <si>
    <t xml:space="preserve">[Source 1 | Week 4 | TCP session hijacking | lecture | dist=0.673]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2 | Week 5 | Types of firewalls – part 2 | lecture | dist=0.776]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3 | Week 4 | TCP session hijacking | lecture | dist=0.777]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number (ISN) generator is employed which selects a new 32-bit ISN. The generator is bound to a (possibly fictitious) 32-bit clock whose low order bit is incremented roughly every 4 microseconds. Thus, the ISN cycles approximately every 4.55 hours. Since we assume that segments will stay in the network no more than the maximum segment lifetime (MSL), and that the MSL is less than 4.55 hours, we can reasonably assume that ISNs will be unique. That is, the sequence numbers should not repeat for at least 4.55 hours. This is to ensure that undelivered packets from previous connections that arrive late do not overlap with current connections. Is it therefore possible for the attacker to guess the initial sequence number? The answer is yes. Since the protocol is open, all the specifications are public and it is possible to calculate the sequence number as it is just a mathematical operation. Even if the protocol is public, some operative systems can decide to implement it differently, as BSD (see note below) did. So, in this case, what can the attacker do? For instance, what if the attacker created a legitimate connection with the server before spoofing the client? The attacker would see the initial sequence number that the server wants to use in their connection, and they could easily guess what the next sequence number for another connection would be based on the implementation. [Side note] Note on the BSD acronym Berkeley Software Distribution (BSD) was an operating system based on Research Unix, developed and distributed by the Computer Systems Research Group (CSRG) at the University of California, Berkeley. Today, ‘BSD’ often refers to its descendants, such as FreeBSD, OpenBSD, NetBSD, or DragonFly BSD, and systems based on those descendants.
[Source 4 | Week 4 | TCP session hijacking | lecture | dist=0.84]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5 | Week 4 | Overview and learning outcomes | overview | dist=1.122]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t>
  </si>
  <si>
    <t xml:space="preserve">High | 0.837</t>
  </si>
  <si>
    <t xml:space="preserve">How can ARP spoofing be used to facilitate DNS poisoning?</t>
  </si>
  <si>
    <t xml:space="preserve">MITM via ARP intercepts DNS; attacker sends false DNS replies</t>
  </si>
  <si>
    <t xml:space="preserve">ARP spoofing can act as the *enabling step* for DNS poisoning by turning the victim into an on‑path participant in the traffic between the victim and its DNS server.  
1. **Establish a Man‑in‑the‑Middle (MITM) position** – The attacker sends falsified ARP replies to the victim (and optionally to the gateway), associating the victim’s IP address with the attacker’s MAC address. This causes all packets destined for the gateway, including DNS queries, to be forwarded to the attacker’s machine first. (Source: Week 4 – Cain &amp; Abel demo).
2. **Intercept DNS queries** – Because the attacker now receives the victim’s DNS request packets, the attacker can read and modify them.
3. **Inject fake DNS responses** – The attacker, using tools such as Cain &amp; Abel, can predefine malicious domain‑to‑IP mappings. When the victim’s request is forwarded to the attacker, the attacker sends a forged DNS reply (containing the spoofed IP) back to the victim, which is then cached by the victim’s local DNS resolver. (Source: Week 4 – Cain &amp; Abel demo; Week 4 – DNS poisoning lecture).
4. **Result** – The victim receives a poisoned DNS entry, redirecting subsequent traffic for the targeted domain to the attacker’s host.
Thus, ARP spoofing sets up the necessary MITM channel, while DNS poisoning provides the malicious mapping that hijacks the victim’s DNS resolution.</t>
  </si>
  <si>
    <t xml:space="preserve">[Source 1 | Week 4 | Demo using Cain and Abel for ARP spoofing and DNS poisoning | lecture | dist=0.646]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
[Source 2 | Week 4 | DNS and DNS cache poisoning | lecture | dist=0.834]
one of the top-level DNS servers responsible for ‘com’ which were provided by the root DNS server. Then the top-level DNS server finds a suffix google.com and returns to the local DNS server with an IP address of the authoritative DNS server for google, ie google.com. Finally, the local DNS server sends the same query again to the authoritative DNS server dns.google.com. In a poisoning attack, however, before the authoritative DNS server replies with the IP address of www.google.com (eg aa:aa:aa:aa), an attacker replies to the request indicating a specific IP address that belongs to the attacker (eg bb:bb:bb:bb). So, the local DNS server will record in its cache that www.google.com is the IP of the attacker (bb:bb:bb:bb) and every time a client requests the IP address of www.google.com, the DNS server will return the poisoned entry. Using DNS poisoning, an attacker can point users to wherever they want – however, most of the time, this technique is combined with website spoofing. For example, imagine a client trying to get access to their online bank account; a wireless router with a DNS poisoned server redirects the client’s request to the attacker. The attacker takes the request, modifies it and sends it to the legitimate bank, pretending to be the client. The bank will respond to the attacker with the client’s data and the bank account is compromised. ---------------------------------------------- Note for ELCD: please do not build the following questions – they are moved to 4.10 Knowledge Check and only kept here for reference Add quiz questions covering this topic to the end of week quiz. In the recursive approach, between steps 4 and 5, where does the authoritative DNS forward the response to? DNS Local DNS Root DNS TLD DNS Authoritative Correct is DNS TLD, for more information go to section x.x In the iterative approach, between steps 1 and 2, where does the Local DNS server check first? 'User DNS Local DNS Root DNS TLD DNS Authoritative Correct is DNS Root, for more information go to section x.x
[Source 3 | Week 3 | This week’s webinar | webinar | dist=0.934]
3.13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Explain the function of ARP and RARP and why ARP results are cached. How can ARP cache be used to spoof other computers? What is the main complication of poisoning an ARP cache? How would it be possible to solve it? What are SYN flood attacks? How can IP spoofing be used to make them more effective? Explain how TCP connections are set up through a Three-Way Handshake and discuss TCP session hijacking by an on-path adversary. Explain how iterative DNS queries work and how this can be exploited to poison caches. We have seen many network attacks. You should also have found information about what a botnet is. Where would a botnet be more useful to execute an attack?
[Source 4 | Week 3 | ARP protocol and ARP spoofing | lecture | dist=0.936]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5 | Week 4 | Demo using Cain and Abel for ARP spoofing and DNS poisoning | lecture | dist=0.943]
DNS. Here is, I just pick up randomly, but in reality, if you do this lab or in a normal network also, or to do this properly, here will be already and if the victim goes for example wants to reach the another host in the local area network, his traffic will be redirected to the spoofed IP. Just like you had in the example in the week materials. I'll go back to that slide now. But before I back, so the attacker can go even further and to perform also DNS spoofing. &lt;/p&gt; &lt;p&gt;So, for example, a simple example is like an attacker makes his own web server and plays on this web server, a fake Facebook page. Yes, simple example. And then all users in the local area network who want to reach the facebook.com page, and, you know, DNS resolution will associate facebook.com with some IP address. But this IP address will be already not from real facebook.com, but spoofed already, that belongs to attacker. Yes, so it can be done also easily with this tool. Then here you, here is a domain name and here is IP address associated with this domain name and you click ‘Resolve’ and then it will start work. So all users will be redirected to the web server of the attacker where he placed this Facebook page. Of course, now Norton browsers have protection against this one we tested and the user just log out from the real facebook.com and receive some security notification about that you're suspicious to have this spoofing, so please log in again and so on. But also attackers have special tools to bypass this restriction.&lt;/p&gt;</t>
  </si>
  <si>
    <t xml:space="preserve">Medium | 0.859</t>
  </si>
  <si>
    <t xml:space="preserve">Countermeasures</t>
  </si>
  <si>
    <t xml:space="preserve">Name two countermeasures that prevent session hijacking and why.</t>
  </si>
  <si>
    <t xml:space="preserve">Two of: TLS/HTTPS, secure random tokens, expiry, IP binding</t>
  </si>
  <si>
    <t xml:space="preserve">**Answer**
1. **Use end‑to‑end encryption and authentication (e.g., TLS/SSL)**  
   Encrypting the traffic and attaching a cryptographic authentication tag (certificate, HMAC, etc.) ensures that only the legitimate communicating parties can read or modify the packets. An on‑path attacker who intercepts the packets cannot inject its own frames or alter the stream without breaking the cryptographic checks, which makes TCP session hijacking ineffective. (Source: Week 3 – lecture “Network attacks”, section on sniffing and the suggested solution of “using cryptography to encrypt the communication.”)
2. **Employ cryptographic session identifiers or signed packets (HMAC, digital signatures)**  
   By embedding a signed or HMAC‑protected session token in each packet, the receiver can verify that the packet originates from the genuine session holder. Any packet that an attacker tries to inject will fail the integrity check and be discarded, preventing the attacker from taking over the session. (Source: Week 3 – lecture “Network attacks”, section on spoofing and poisoning and the suggested solution of “leveraging keys to sign what we want to protect.”)</t>
  </si>
  <si>
    <t xml:space="preserve">[Source 1 | Week 1 | Knowledge check | quiz | dist=0.928]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2 | Week 5 | Quiz week 1-5 | quiz | dist=0.982]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3 | Week 1 | Network attacks | lecture | dist=1.024]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4 | Overview and learning outcomes | overview | dist=1.042]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5 | Week 4 | This week’s webinar | webinar | dist=1.07]
4.12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Can you discuss TCP session hijacking by an on-path adversary? Can you explain how iterative DNS queries work and how this can be exploited to poison caches? Can you explain how BGP routes can be hijacked and how the 'network black holes' are created?</t>
  </si>
  <si>
    <t xml:space="preserve">Explain how encryption defends against a man-in-the-middle attack.</t>
  </si>
  <si>
    <t xml:space="preserve">Intercepted traffic is unreadable/unmodifiable without keys</t>
  </si>
  <si>
    <t xml:space="preserve">Encryption protects against a man‑in‑the‑middle (MITM) attack by making the traffic unintelligible and tamper‑detectable to any third party that intercepts it.  
When two legitimate hosts establish a secure link (for example with IPsec, which encrypts and authenticates packets at the IP layer – see Week 5 lecture, source 4), the following security properties are achieved:
* **Confidentiality** – The payload is encrypted with a key known only to the sender and receiver. An interceptor cannot read the data, so the attacker gains no useful information from eavesdropping.  
* **Integrity and authenticity** – The same mechanism attaches an authentication tag or uses a digital signature that the receiver verifies. Any alteration of the encrypted data by an MITM attacker will cause the tag to fail, immediately exposing the tampering.  
* **Availability** – Because the connection is protected, the legitimate parties can rely on the channel to deliver packets promptly, reducing the attacker's ability to inject disruptive traffic.
Thus, encryption coupled with authentication ensures that even if a malicious host sits between the two parties and forwards packets, it cannot decrypt, alter, or fabricate the information, effectively nullifying a MITM attack.</t>
  </si>
  <si>
    <t xml:space="preserve">[Source 1 | Week 1 | How do we define security | lecture | dist=1.17]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2 | Week 1 | Knowledge check PDF | quiz | dist=1.172]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5 | Quiz week 1-5 | quiz | dist=1.234]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4 | Week 5 | Firewall topologies | lecture | dist=1.265]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5 | Week 1 | Knowledge check | quiz | dist=1.277]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t>
  </si>
  <si>
    <t xml:space="preserve">Low | 1.224</t>
  </si>
  <si>
    <t xml:space="preserve">Week 5</t>
  </si>
  <si>
    <t xml:space="preserve">Firewall basics</t>
  </si>
  <si>
    <t xml:space="preserve">What is a firewall and what security service does it provide?</t>
  </si>
  <si>
    <t xml:space="preserve">Filters traffic; provides access control</t>
  </si>
  <si>
    <t xml:space="preserve">A firewall is a computer or network‑level security system that sits between an organisation’s internal network and an external network such as the internet. It inspects all traffic that flows in either direction through this choke point and enforces a security policy that determines which packets are permitted and which are blocked. By filtering traffic based on IP address, protocol, port number, direction and user, the firewall provides a perimeter defence that prevents unwanted or malicious traffic—such as external intrusions or internal exfiltration—while allowing legitimate communication (e.g. employees accessing web resources or external servers hosting company services).  
**Security service provided**: The firewall’s primary security service is to act as a gatekeeper that enforces access control and protects the internal network from external threats by allowing only authorised traffic and blocking all other traffic, thereby insulating internal systems from the risks of the outside world.  
Source: Week 5 lecture “What is a firewall” (Source 1).</t>
  </si>
  <si>
    <t xml:space="preserve">[Source 1 | Week 5 | What is a firewall | lecture | dist=0.436]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2 | Week 5 | Your personal firewall | lecture | dist=0.639]
[KEATS forum] 5.9 Your personal firewall A personal firewall is an application which controls network traffic between a computer and the internet, permitting or denying communications based on a security policy. Typically, it works as an application layer firewall and nowadays it is installed on your operating system by default. A personal firewall is typically much less complex than other firewall types as it will usually protect only the computer on which it is installed and allows a security policy to be defined for individual computers only. Its primary role is to deny unauthorised remote access to the computer and monitor outgoing activity for malware. Identify the personal firewall installed in your machine. What are its basic functionalities? What options are available for you? Share your responses in the forum below. You may want to read posts from your coursemates and respond to a few.
[Source 3 | Week 5 | Firewall topologies | lecture | dist=0.739]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4 | Week 5 | Firewall topologies | lecture | dist=0.813]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5 | Week 5 | Stateful firewall rule practice | lecture | dist=0.813]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t>
  </si>
  <si>
    <t xml:space="preserve">High | 0.688</t>
  </si>
  <si>
    <t xml:space="preserve">Firewall types</t>
  </si>
  <si>
    <t xml:space="preserve">Name the main types of firewalls covered in the module.</t>
  </si>
  <si>
    <t xml:space="preserve">Packet filter, circuit-level, stateful, application-level proxy</t>
  </si>
  <si>
    <t xml:space="preserve">ANSWER:  
The module discusses the following main firewall types:  
1. **Packet‑filtering firewall** – inspects only IP/transport headers and uses an ACL (Source/destination IP, port, protocol, interface) to allow or block packets. (Week 5 – Types of firewalls – part 1)  
2. **Circuit‑level gateway** – operates at the session layer, tracking connection state and permitting packets that belong to an established session. (Week 5 – This week’s webinar)  
3. **Stateful (stateful‑inspection) firewall** – a more advanced type that maintains state information for connections, enabling it to make decisions based on the entire conversation rather than individual packets. (Week 5 – This week’s webinar)  
4. **Application‑layer (or application‑specific) firewall** – inspects payloads or protocol‑specific data (e.g., HTTP, SMTP) and applies rules accordingly. (Week 5 – Types of firewalls – part 2, inferred from the course outline)  
5. **Personal firewall** – a host‑based application that controls inbound/outbound traffic for a single machine, often installed by default on the OS. (Week 5 – Your personal firewall)  
These categories cover the primary firewall concepts taught in the module.</t>
  </si>
  <si>
    <t xml:space="preserve">[Source 1 | Week 5 | Types of firewalls – part 1 | lecture | dist=0.735]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2 | Week 5 | This week’s webinar | webinar | dist=0.831]
5.13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What is a firewall? What are the limitations of a firewall? How many different types of firewalls exist? Can you describe two possible attacks of a packet filter firewall? What is a circuit level gateway? What is the more advanced type of firewall in use today? Why is it used? Can you explain what a DMZ is and why it is useful in networking?
[Source 3 | Week 5 | Firewall topologies | lecture | dist=0.857]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4 | Week 5 | Your personal firewall | lecture | dist=0.857]
[KEATS forum] 5.9 Your personal firewall A personal firewall is an application which controls network traffic between a computer and the internet, permitting or denying communications based on a security policy. Typically, it works as an application layer firewall and nowadays it is installed on your operating system by default. A personal firewall is typically much less complex than other firewall types as it will usually protect only the computer on which it is installed and allows a security policy to be defined for individual computers only. Its primary role is to deny unauthorised remote access to the computer and monitor outgoing activity for malware. Identify the personal firewall installed in your machine. What are its basic functionalities? What options are available for you? Share your responses in the forum below. You may want to read posts from your coursemates and respond to a few.
[Source 5 | Week 5 | Cyber M3 Week 5 outline | outline | dist=0.864]
Note for the Module lead: please focus on the subheading titles and the structure. The columns entitled ‘Activity labels’ and ‘Delivery format’ are for the King’s Digital build team. Week 5: Firewalls No. Activity title Activity label/s [Media / Group / Assessed] Delivery format Welcome to week 5 5.1 Overview and learning outcomes KEATS book 5.2 Week 5 general discussion KEATS forum Firewalls 5.3 What is a firewall? Media KEATS book 5.4 Types of firewalls – part 1 KEATS book 5.5 Packet filter firewall rule practice KEATS book 5.6 Types of firewalls – part 2 KEATS book 5.7 Stateful firewall rule practice Group KEATS forum 5.8 Firewall topologies KEATS book 5.9 Your personal firewall Group KEATS forum Virtual lab 5.10 Virtual Lab: IPTables KEATS book Consolidation and reflection 5.11 Knowledge check KEATS quiz 5.12 Reflect on your learning KEATS questionnaire 5.13 This week’s webinar KEATS book 5.14 Quiz week 1-5 KEATS quiz</t>
  </si>
  <si>
    <t xml:space="preserve">High | 0.829</t>
  </si>
  <si>
    <t xml:space="preserve">Packet filter</t>
  </si>
  <si>
    <t xml:space="preserve">What is a packet filter firewall and at which layers does it operate?</t>
  </si>
  <si>
    <t xml:space="preserve">Inspects headers; L3/L4; no connection state</t>
  </si>
  <si>
    <t xml:space="preserve">ANSWER:  
A packet‑filter firewall is the simplest type of network firewall. It examines each packet that traverses it, using an access‑control list (ACL) that matches against fields in the packet’s IP and transport‑layer headers. Based on these header matches it decides whether to forward or silently discard the packet. The firewall does not inspect the packet payload or application data; it operates only on the network and transport layers of the OSI model (Layer 3 and Layer 4).</t>
  </si>
  <si>
    <t xml:space="preserve">[Source 1 | Week 5 | Types of firewalls – part 1 | lecture | dist=0.596]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2 | Week 5 | Types of firewalls – part 1 | lecture | dist=0.718]
take advantage of using a netmask to refer to this specific group, including the host IP address and all the consecutive addresses after it that match the pattern specified by the netmask. You can find the complete table of netmask here. [new page] 3. Advantages and disadvantages of packet filter firewalls The main advantages of packet filter firewalls are that they are very simple, very fast and transparent to users. However, as they were first to be introduced, they have lots of disadvantages. There is no examination of upper-layer data, hence no prevention of attacks that employ application-specific vulnerabilities or functions. For example, a packet filter firewall cannot block specific application commands. If a packet filter firewall allows a given application, all functions available within that application will be permitted. Because of the limited information available to the firewall, the logging functionality present in packet filter firewalls is limited. Packet filter logs normally contain the same information used to make access control decisions, eg source and destination addresses, traffic type, etc. Most packet filter firewalls do not support advanced user authentication schemes which is also due to a lack of upper-layer functionality. Packet-filter firewalls are generally vulnerable to attacks and exploits that take advantage of problems within the TCP/IP specification and protocol stack, such as network layer address spoofing. Many packet filter firewalls cannot detect a network packet in which the OSI layer 3 addressing information has been altered. Spoofing attacks are generally employed by intruders trying to bypass the security controls implemented in a firewall platform. Due to the small number of variables used in decisions, packet filter firewalls are susceptible to security breaches caused by improper configurations. It is easy to accidentally configure a packet filter firewall to allow traffic types, sources and destinations that should be denied based on an organisation’s information security policy. Attacks and countermeasures Packet filter firewalls suffer from some of the common attacks. Let’s see some of them and their countermeasures. The first attack is IP address spoofing. The intruder transmits packets from the outside with a source IP address field containing an address of an internal host, which is a fake source address that the firewall trusts. The attacker hopes that the use of a spoofed address will allow penetration of systems that employ simple source address security, in which packets from specific trusted internal hosts are accepted. What is the countermeasure for this attack? [View answer (no academic)] View answer The countermeasure is to add filters on routers to block such packets by discarding packets with an inside source address if the packet arrives on an external interface. This countermeasure is often implemented at the router external to the firewall. The second attack is called the tiny fragment attack. The idea is to split the header info over several tiny packets. The attacker uses the IP fragmentation option to create extremely small fragments and force the TCP header information into a separate packet fragment. This attack is designed to circumvent filtering
[Source 3 | Week 5 | Types of firewalls – part 2 | lecture | dist=0.735]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4 | Week 5 | Stateful firewall rule practice | lecture | dist=0.871]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5 | Week 5 | Firewall topologies | lecture | dist=0.872]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t>
  </si>
  <si>
    <t xml:space="preserve">High | 0.758</t>
  </si>
  <si>
    <t xml:space="preserve">Firewall policy</t>
  </si>
  <si>
    <t xml:space="preserve">What is the difference between default-permit and default-deny?</t>
  </si>
  <si>
    <t xml:space="preserve">Permit = allow unless blocked; Deny = block unless allowed</t>
  </si>
  <si>
    <t xml:space="preserve">**Answer**  
In firewall rule sets, the *default* action defines what happens to packets that do not match any explicit rule.  
| Default policy | Effect on unseen traffic | Typical use |
|----------------|--------------------------|-------------|
| **Default‑permit** | Any packet that is **not** explicitly blocked is allowed to pass. | Used when convenience and ease of use are desired; often adopted by open organisations such as universities. |
| **Default‑deny** | Any packet that is **not** explicitly permitted is dropped. | Used when security is the priority; common in businesses and government environments. |
The choice between the two determines whether the firewall behaves as a **whitelist** (default‑deny) or a **blacklist** (default‑permit).  
Sources: Week 5 lecture on “Types of firewalls – part 1” (rule‑set discussion), Week 5 lecture “What is a firewall” (default policy explanation).</t>
  </si>
  <si>
    <t xml:space="preserve">[Source 1 | Week 5 | Types of firewalls – part 1 | lecture | dist=1.192]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that is not expressly prohibited is permitted This policy increases ease of use for end users but provides reduced security. The security administrator must, in essence, react to each new security threat as it becomes known. This policy is used by generally more open organisations, such as universities. [new page] 2. Example rule sets Let’s look at some sample rule sets. In these tables, a star (*) means ANY – that is, all inputs are allowed for that particular field. Also, SPIGOT and OUR-GW stand for hosts or possibly entire networks; typically, we would put ID addresses in the tables instead. Rule set A Source address Source port Destination address Destination port Action Comment * * SPIGOT * Block No messages are allowed to be sent to SPIGOT, as we don’t trust these people. SPIGOT * * * Block No messages are allowed to pass the firewall if they are from SPIGOT. OUR-GW 25 * * Allow Outbound connection to our SMTP port. Outbound mail is allowed (port 25 is for outcoming SMTP), but only from our gateway host (OUR-GW). However, packets from a particular external host, SPIGOT, are blocked because, for example, that host has a history of sending massive files in email messages. Rule set B Source address Source port Destination address Destination port Action Comment * * * * Block Default This is an explicit statement of the discard by default policy. All rule sets include this rule implicitly as the last rule. Rule set C Source address Source port Destination address Destination port Action Comment * * * 25 Allow Connection to their SMTP port. This rule set specifies that any inside host can send mail to the outside. A TCP packet with a destination port of 25 is routed to SMTP server on the destination machine. The problem with this rule is that the use of port 25 for SMTP receipt is only a default; an outside machine could be configured to have some other application linked to port 25. As rule C is written, an attacker could gain access to internal machines by sending packets with a TCP source port number of 25. Rule set D Source address Source port Destination address Destination port Flag Action Comment (Our hosts) * * 25 Allow The mail server which is one of our hosts initiates an SMTP session with the destination email service. * 25 * * ACK Allow The destination email server replies, and it belongs to the same session. Please note the new flag column in these tables which was not present before. This rule set achieves the intended result that was not achieved with rule set C, exploiting a feature of the TCP
[Source 2 | Week 5 | What is a firewall | lecture | dist=1.315]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to a service according to which entity is trying to access that specified service. This feature is applied to users inside the firewall perimeter (internal users). It may also be applied to incoming traffic from external users. It requires some form of secure authentication technology. Using Ipsec and similar protocols, this feature can be applied to incoming traffic from external users. [Card vertical (no image)] Behaviour control This controls how particular services are used. It keeps track of particular services in order to find any malicious activity in the service. An example would be blocking spam mails by filtering addresses. Firewall limitations A firewall cannot protect from attacks that bypass it or against malware imported via a laptop, a PDA, or storage that was infected from outside the network. For example: sneakernet, utility modems, trusted organisations, trusted services (eg SSL/SSH), etc. [Definition box] Sneakernet An informal term describing the transfer of electronic information, especially computer files, by physically moving removable media such as magnetic tape, floppy disks, compact discs, USB flash drives (thumb drives, USB stick) or external hard drives from one computer to another, usually instead of transmitting the information over a computer network. The term, a tongue-in-cheek play on Ethernet, refers to the use of someone wearing sneakers as the transport mechanism for the data. You can watch the following video to see an example of Sneakernet. 3.3 What is a firewall?: What is a firewall? | KEATS (LD: only if video is KD-produced, not needed for 3rd party videos) Sneakernet Dr Ievgeniia Kuzminykh Senior Lecturer in Cybersecurity Education View transcript Dr Ievgeniia Kuzminykh | Senior Lecturer in Cybersecurity Education Hi. In this video, we are going to take a look at an attack called ‘Sneakernet’, which is an informal term for the transfer of electronic information by physically moving media such as optical discs, USB flash drives or external hard drives between computers, rather than transmitting it over a computer network. We are going to have a look at an example from Mr Robot. This clip from Mr Robot, season 1, episode 6, shows us an attempt to bypass the potential protections that are in place to protect a precinct. Now, let’s play the clip. [A woman is walking on a parking lot and dropping on the ground several USB flash drives.] Elliot, the hacker, aims to get into the police network infrastructure. He recruited Darlene to pull off a simple, but classic penetration testing technique. Let's pause for a moment and look at this scene. In order to allow Elliot to get access to the IT police infrastructure, she is planting poisoned USB sticks in hopes that someone will plug one in, in front of the
[Source 3 | Week 5 | Types of firewalls – part 1 | lecture | dist=1.328]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4 | Week 5 | Types of firewalls – part 2 | lecture | dist=1.362]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5 | Week 1 | Knowledge check | quiz | dist=1.379]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t>
  </si>
  <si>
    <t xml:space="preserve">Application proxy</t>
  </si>
  <si>
    <t xml:space="preserve">What is an application-level proxy firewall and one advantage?</t>
  </si>
  <si>
    <t xml:space="preserve">Inspects L7; per-service proxy; easier logging; more secure</t>
  </si>
  <si>
    <t xml:space="preserve">An application‑level proxy firewall (also called an application‑level gateway) is a firewall that sits as a proxy between a client and a server and operates at the OSI application layer (layer 7). It opens a separate connection to the server, inspects the entire application‑level packet (e.g., header fields, message size, content keywords), and only forwards the traffic if it conforms to predefined application‑specific rules.  
**Advantage:** Because it inspects full application data, it can detect and block malicious content that would otherwise pass through a packet‑level filter, making it one of the most secure firewall types and simplifying audit and logging at the application level.  
*Source: Week 5 – Types of firewalls – part 2 (lecture)*</t>
  </si>
  <si>
    <t xml:space="preserve">[Source 1 | Week 5 | Types of firewalls – part 2 | lecture | dist=0.627]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firewalls, summarise in your own words the main differences between packet, circuit, stateful and application firewalls, as well as their advantages and disadvantages. You could post your summary in the Week 5 general discussion forum to get feedback from your coursemates on your write-up.
[Source 2 | Week 5 | Firewall topologies | lecture | dist=0.659]
5.8 Firewall topologies 1. Bastion host and demilitarised zones A firewall is positioned to provide a protective barrier between an external, potentially untrusted source of traffic and an internal network. A security administrator must decide on the location and on the number of firewalls needed. Let’s look at different ways of deploying firewalls. Bastion host [Float box (with image-left)] Because an application-level gateway is exposed to greater risk than the hosts it protects, the proxy server normally takes the form of a specially secured host, referred to as a bastion host. A bastion host is specifically designed to be more resistant to attacks than other hosts on the protected network. For instance, a bastion host will run a secure version of the operating system, and may allow only essential services to be installed with a restricted set of Telnet, DNS, FTP and SMTP protocols. In addition, a strong user authentication process is employed along with audit facilities that record any intrusion attempts. Bastion hosts may require additional authentication before a user is allowed access to proxy services. Each proxy may require its own authentication before granting user access. The proxies are usually configured to support only a subset of the standard application’s command set and to allow access only to specific host systems. They maintain detailed audit information by logging all traffic, each connection, and the duration of each connection. These audit logs are essential for discovering and terminating intruder attacks. Alt: A photo of a defensive castle tower Caption: [(Optional) caption text] Each of the proxies is independent of other proxies on the bastion host. They can be uninstalled without affecting the operation of the other proxy applications, and conversely, if the user population requires support for a new service, a network admin can easily install new proxies. They also run as non-privileged users in a private and secured directory on the bastion host. The software packages run on the bastion host are specifically designed for network security and thus they make it easier to check for security flaws. For example, a typical UNIX mail application may contain over 20,000 lines of code, while a mail proxy may contain less than 1,000. Host-based firewalls A host-based firewall is a software module used to secure individual hosts. It is available in many operating systems, or it can be provided as an add-on package. Like conventional stand-alone firewalls, host-resident firewalls filter and restrict the flow of packets. A common location for such firewalls is a server. There are several advantages to the use of a server-based or workstation-based firewalls: We can tailor filtering rules to the host environment. In fact, specific corporate security policies for servers can be implemented, with different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[Source 3 | Week 5 | Types of firewalls – part 2 | lecture | dist=0.79]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4 | Week 5 | 5.5.1 Quiz 5  Attempt review   KEATS | quiz | dist=0.827]
provides ﬁrewall functions for multiple services b.In general, It is easier to log and audit all incoming traﬃc on an application-level proxy ﬁrewalls than stateful ﬁrewalls. c. An application-level proxy creates one connection with the server only, but not that with the client. d.Application-level proxy ﬁrewalls tend to be more secure than packet ﬁltering ﬁrewalls e.An application-level proxy ﬁrewalls has high processing overhead than circuit-level proxy ﬁrewalls. Your answer is incorrect. The correct answers are: Application-level proxy ﬁrewalls tend to be more secure than packet ﬁltering ﬁrewalls, In general, It is easier to log and audit all incoming traﬃc on an application-level proxy ﬁrewalls than stateful ﬁrewalls. , An application-level proxy ﬁrewalls has high processing overhead than circuit-level proxy ﬁrewalls. A packet ﬁltering ﬁrewall has a rule in its table as below. Choose all the options that describe this rule. a.This rule may be used in positive ﬁltering. b.This is an explicit statement of the default = discard policy c. This is an explicit statement of the default = forward policy d.All rule sets include this rule implicitly as the last rule e.This is a rule that may be used in negative ﬁltering Your answer is incorrect. The correct answers are: This is an explicit statement of the default = forward policy, This is a rule that may be used in negative ﬁltering In VPN, which two techniques can be used in their lower protocol layers to provide a secure connection through an otherwise insecure Internet. a.access control b.audit and logs c. authentication d.hash function e.encryption Your answer is incorrect. The correct answers are: encryption, authentication In the following diagram of an Azure ﬁrewall, which parts of the network the ﬁrewall is trying to protect? a.Spoke 1 VNet b.On-premises networks c. Spoke 2 VNet d.The external network (the little globe) e.All networks on the cloud Your answer is incorrect. The correct answers are: Spoke 1 VNet, Spoke 2 VNet, On-premises networks A network administrator needs to decide where to put a web server that lists the speciﬁcations of their products such as user manual, prices, special oﬀers that potential buyers are interested to know. Which part of the network would you recommend to the network administrator? a.the external DMZ network b.the internal protected network c. the internal DMZ network Your answer is incorrect. The correct answer is: the external DMZ network 
[Source 5 | Week 5 | Types of firewalls – part 2 | lecture | dist=0.886]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t>
  </si>
  <si>
    <t xml:space="preserve">Circuit-level</t>
  </si>
  <si>
    <t xml:space="preserve">What is a circuit-level gateway and one limitation?</t>
  </si>
  <si>
    <t xml:space="preserve">Validates TCP session; doesn't inspect content; malware passes</t>
  </si>
  <si>
    <r>
      <rPr>
        <sz val="9"/>
        <color rgb="FF1F2937"/>
        <rFont val="Arial"/>
        <family val="0"/>
        <charset val="1"/>
      </rPr>
      <t xml:space="preserve">A circuit‑level gateway (also called a circuit‑level proxy) is a firewall that operates at the session/transport layer of the OSI model. It verifies that a connection request (e.g., a TCP handshake) matches a set of allowed parameters—such as source/destination IPs, ports, time of day, user credentials—before permitting the session to be established. Once the two sides have connected, the gateway simply relays the TCP segments between the internal and external hosts without inspecting the data payload</t>
    </r>
    <r>
      <rPr>
        <sz val="9"/>
        <color rgb="FF1F2937"/>
        <rFont val="Noto Sans CJK SC"/>
        <family val="2"/>
      </rPr>
      <t xml:space="preserve">【</t>
    </r>
    <r>
      <rPr>
        <sz val="9"/>
        <color rgb="FF1F2937"/>
        <rFont val="Arial"/>
        <family val="0"/>
        <charset val="1"/>
      </rPr>
      <t xml:space="preserve">Source 2 | Week 5 | Types of firewalls – part 2</t>
    </r>
    <r>
      <rPr>
        <sz val="9"/>
        <color rgb="FF1F2937"/>
        <rFont val="Noto Sans CJK SC"/>
        <family val="2"/>
      </rPr>
      <t xml:space="preserve">】</t>
    </r>
    <r>
      <rPr>
        <sz val="9"/>
        <color rgb="FF1F2937"/>
        <rFont val="Arial"/>
        <family val="0"/>
        <charset val="1"/>
      </rPr>
      <t xml:space="preserve">.
**One limitation**: because it does not inspect the packet contents, a circuit‑level gateway cannot detect malware or malicious data that is transmitted within an otherwise valid TCP connection. Consequently, a packet containing malicious payloads but with a legitimate handshake can pass through unimpeded</t>
    </r>
    <r>
      <rPr>
        <sz val="9"/>
        <color rgb="FF1F2937"/>
        <rFont val="Noto Sans CJK SC"/>
        <family val="2"/>
      </rPr>
      <t xml:space="preserve">【</t>
    </r>
    <r>
      <rPr>
        <sz val="9"/>
        <color rgb="FF1F2937"/>
        <rFont val="Arial"/>
        <family val="0"/>
        <charset val="1"/>
      </rPr>
      <t xml:space="preserve">Source 2 | Week 5 | Types of firewalls – part 2</t>
    </r>
    <r>
      <rPr>
        <sz val="9"/>
        <color rgb="FF1F2937"/>
        <rFont val="Noto Sans CJK SC"/>
        <family val="2"/>
      </rPr>
      <t xml:space="preserve">】</t>
    </r>
    <r>
      <rPr>
        <sz val="9"/>
        <color rgb="FF1F2937"/>
        <rFont val="Arial"/>
        <family val="0"/>
        <charset val="1"/>
      </rPr>
      <t xml:space="preserve">.</t>
    </r>
  </si>
  <si>
    <t xml:space="preserve">[Source 1 | Week 5 | Types of firewalls – part 2 | lecture | dist=0.944]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2 | Week 5 | Types of firewalls – part 2 | lecture | dist=0.972]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3 | Week 4 | Example of routing in real life | lecture | dist=1.129]
4.4 Example of routing in real life [Float box (with image-right)] Have you ever thought about how information travels inside the network? Have you ever noticed that when you browse the internet some pages are faster to open than others? And no, it is not all about how powerful your computer is or how fast your connection is. Millions of packets travel the internet, trying to reach different points. We can think of the internet like a long highway. Along this highway there are signs for the important destinations, but not for all the possible destinations. So, how would a packet be able to reach your home? Alt: A photo of a busy road intersection. Caption: [(Optional) caption text] The key idea behind the routing technique on the internet is similar to the routing technique applied to telephone numbers and postal codes. Telephone numbers start with a country code, continue with an area code and finally a local exchange; IP addresses have a similar structure, identifying the network with the first sequence of bits and identifying the individual node in the network with the final bits. In order to manage the routing of the packets and provide services that improve the routing itself (eg rerouting packets in case of congestion, etc) a protocol is needed. IP, or the Internet Protocol, is used for routing, in that it specifies which destination each packet is going to. BGP is responsible for directing packets on the fastest route to their destination. Without BGP, IP packets would bounce around the internet randomly from autonomous system to autonomous system, like a driver trying to reach their destination by guessing which roads to take.
[Source 4 | Week 5 | Types of firewalls – part 2 | lecture | dist=1.281]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firewalls, summarise in your own words the main differences between packet, circuit, stateful and application firewalls, as well as their advantages and disadvantages. You could post your summary in the Week 5 general discussion forum to get feedback from your coursemates on your write-up.
[Source 5 | Week 4 | BGP hijacking | lecture | dist=1.319]
of Electrical Engineering and Computer Science, Massachusetts Institute of Technology, Cambridge, MA, USA. Rep. 6.02, May 2006. [Online]. Available: https://web.mit.edu/6.02/www/s2012/handouts/youtube-pt.pdf All readings are available via the Reading list link in the Module resources block. Once you have posted your answer, you can listen to Dr Hannah Cao’s feedback with a few examples. Start 16:31 till 18:53 BGP routing blackholes Dr Hannah Cao Senior Lecturer in Computer Science Education View transcript Dr Hannah Cao | Senior Lecturer in Computer Science Education One of the major instances of routing blackhole was on 25 April 1997, the day when the Internet died. The autonomous system AS7007 at Florida Internet Exchange, de-aggregated the BGP routing table, after learning the entire Internet routing tables through BGP protocol. It then converted most prefix to /24. The purpose was to make it more specific than those genuine routes. AS7007 then re-advertised to all prefixes, any other routers that it can route to all the specific prefix. As a result, other routers on the Internet thought that every network everywhere could be reached by sending traffic to AS7007, causing a huge network instability due to incorrect routing data. For more details or the full story, you can look at the link here. [[lore] Murphy's Law Strikes Again: AS7007] Another incident happened 11 years later on February 24 2008, when Pakistan Telecom took down YouTube in an attempt to perform censorship in Pakistan. What happened? They diverted YouTube traffic by injecting BGP routine entries with a /24 prefix for YouTube subnets. It worked well for its national censorship. But unfortunately, the manipulated BGP entries were leaked in arrow to other autonomous systems on the Internet, and the whole Internet started diverting YouTube traffic to Pakistan because of the /24 entrance that are more specific and have a longer prefix than the genuine routing entries for YouTube traffic. Therefore, were chosen by the BGP routers using the longest prefix matching selection route. More details are in the link below for your interest. ['How YouTube was “Hijacked”']</t>
  </si>
  <si>
    <t xml:space="preserve">Low | 1.129</t>
  </si>
  <si>
    <t xml:space="preserve">Stateful firewall</t>
  </si>
  <si>
    <t xml:space="preserve">What is a stateful firewall and how does it differ from a stateless one?</t>
  </si>
  <si>
    <t xml:space="preserve">Tracks state table NEW/ESTABLISHED/RELATED; stateless is per-packet</t>
  </si>
  <si>
    <t xml:space="preserve">Yes - packet filter firewall</t>
  </si>
  <si>
    <t xml:space="preserve">**Answer**
A **stateful firewall** is a network security device that, in addition to examining the header fields of each packet, maintains a *connection state table* that records the status of every network session that has been initiated through it. When a new packet arrives, the firewall checks the table to determine whether the packet is part of an existing connection (e.g., ESTABLISHED or RELATED) or is attempting to start a new one (NEW). Only packets that match a defined state (or are allowed to initiate a new connection under the policy) are forwarded; all others are dropped.  
(See Week 5, “What is a firewall?” §5.3 and Week 5, “Types of firewalls – part 2”, §4.)
A **stateless firewall**, by contrast, treats each packet independently. It applies a rule set that matches only the packet’s source/destination addresses, ports, and protocol fields, without reference to any prior traffic. Consequently, it cannot differentiate between a legitimate reply to an established connection and an unsolicited packet that happens to match a rule.  
**Key differences**
| Aspect | Stateful firewall | Stateless firewall |
|--------|-------------------|--------------------|
| **Session awareness** | Maintains a state table (NEW, ESTABLISHED, RELATED, INVALID). | No session awareness; each packet evaluated in isolation. |
| **Return traffic** | Automatically allows packets that belong to an established connection, even if no explicit rule exists for the return direction. | Requires separate rules for each direction. |
| **Security** | Detects incomplete handshakes (e.g., SYN‑floods) and can drop connections that do not complete the TCP three‑way handshake. | Cannot detect such patterns; all matching packets are forwarded. |
|</t>
  </si>
  <si>
    <t xml:space="preserve">[Source 1 | Week 5 | Stateful firewall rule practice | lecture | dist=0.882]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2 | Week 5 | Firewall topologies | lecture | dist=0.909]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3 | Week 5 | What is a firewall | lecture | dist=0.916]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4 | Week 5 | Types of firewalls – part 2 | lecture | dist=0.921]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5 | Week 5 | Firewall topologies | lecture | dist=0.978]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t>
  </si>
  <si>
    <t xml:space="preserve">Medium | 0.921</t>
  </si>
  <si>
    <t xml:space="preserve">What connection states does a stateful firewall track and how?</t>
  </si>
  <si>
    <t xml:space="preserve">NEW/ESTABLISHED/RELATED/INVALID; SYN=NEW, SYN-ACK=ESTABLISHED</t>
  </si>
  <si>
    <t xml:space="preserve">A stateful firewall tracks the lifecycle of each connection by maintaining a **state table** that classifies traffic into four primary states (as defined for Linux iptables in Week 5):
| State | Description | How it is detected |
|-------|-------------|--------------------|
| **NEW** | The packet initiates a new connection (e.g. a TCP SYN or a UDP datagram with no matching entry). | The firewall checks the packet’s protocol/flags against the state table; if no existing entry exists and the packet is a connection‑initiating packet (SYN for TCP, any UDP datagram, ICMP Echo Request, etc.), it is marked NEW. |
| **ESTABLISHED** | The packet belongs to an already‑seen, fully‑established session. | After a successful three‑way TCP handshake (SYN → SYN‑ACK → ACK) the connection is recorded; subsequent packets matching the source/destination IP‑port pair and sequence numbers are tagged ESTABLISHED. |
| **RELATED** | The packet is part of a new connection that is *related* to an existing one (e.g. FTP data channel, ICMP error message). | The firewall inspects control information (e.g. FTP command, ICMP type) and links the packet to an existing entry, then marks it RELATED. |
| **INVALID** | The packet does not fit any known session and violates expected protocol behaviour. | If the packet’s flags, sequence numbers, or protocol state do not correspond to any table entry, it is flagged INVALID and usually dropped. |
The firewall updates the state table continuously: new packets create or modify entries; idle entries are removed after a configurable timeout; keep‑alive messages prevent premature removal. In iptables, the `–state` match option (`NEW`, `ESTABLISHED`, `RELATED`, `INVALID`) lets administrators permit or block traffic based on these tracked states.</t>
  </si>
  <si>
    <t xml:space="preserve">[Source 1 | Week 5 | Types of firewalls – part 2 | lecture | dist=0.717]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2 | Week 5 | Stateful firewall rule practice | lecture | dist=0.909]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3 | Week 5 | Types of firewalls – part 2 | lecture | dist=0.959]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4 | Week 5 | Knowledge check | quiz | dist=0.97]
Feedback (Optional feedback for each individual answer) Access control. Audit and logs. Authentication. Hash function. Encryption. General Feedback [New page] [Graphic – full-width] Figure: A diagram of an Azure firewall. See the question below. Caption: [View description] View description The diagram shows that an Azure firewall is connected to multiple networks on the cloud. On the left are two Spoke VNets: Spoke 1 and Spoke 2. At the bottom, on-premises networks connect to the firewall with a label indicating traffic filtering. On the right, an external network (represented by a little globe) connects to the firewall; traffic is denied by default but threat intel, NAT, network and application traffic filtering rules allow inbound and outbound access. The diagram also mentions firewall rules that come from two sources: User configuration; L3-L7 connectivity policies. Microsoft threat intelligence; known malicious IPs and FQDNs. The firewall is deployed in a Central VNet. [Multiple choice question] Question Question number: 9 Question text: In the above diagram of an Azure firewall, which parts of the network does the firewall try to protect? Select all correct answers. Settings Number of answers: [One/Multiple] Shuffle answers? [Yes/No] Answers (Please highlight the correct answer) Feedback (Optional feedback for each individual answer) Spoke 1 VNet. Spoke 2 VNet. On-premises networks. The external network (the little globe). All networks on the cloud. General Feedback [Multiple choice question] Question Question number: 10 Question text: A network administrator needs to decide where to put a web server containing information about their products, such as user manuals, prices and special offers that might interest potential buyers. Which part of the network would you recommend to the network administrator? Settings Number of answers: [One/Multiple] Shuffle answers? [Yes/No] Answers (Please highlight the correct answer) Feedback (Optional feedback for each individual answer) The external DMZ network. The internal protected network. The internal DMZ network. General Feedback [Essay question] Question Question number: 11 Question text: List and describe the techniques that firewalls use to control access and enforce the site’s security policy. General feedback (relevant for the question as a whole) Service control (what): determines the types of internet services that can be accessed, inbound or outbound. Direction control (where): determines the direction in which particular service requests may be initiated and allowed to flow through the firewall. User control (who): controls access to a service according to which user is attempting to access it. Behaviour control (how): controls how particular services are used. [Essay question] Question Question number: 12 Question text: Describe what a VPN is. General feedback (relevant for the question as a whole) A virtual private network (VPN) consists of a set of computers connected by means of a relatively insecure network that make use of encryption and special protocols to provide security. It uses encryption and authentication in the lower protocol layers to provide a secure connection through an otherwise insecure network, typically the internet. Encryption may be performed by firewall software or by routers. The most common protocol mechanism used for this purpose is
[Source 5 | Week 5 | Quiz week 1-5 | quiz | dist=0.986]
is not placed outside this firewall. Right behind your first network passive internet http firewall. This is incorrect. A demilitarised zone does not need to be placed behind a network passive internet http firewall. It just needs to be placed behind the first internet-facing firewall. Right behind your first network active firewall. This is incorrect. A demilitarised zone is placed behind the first internet-facing firewall, not behind the first network active firewall. General Feedback [Multiple choice question] Question Question number: 4 Question text: Which network monitoring capability is provided by using SPAN? Settings Number of answers: [One/Multiple] Shuffle answers? [Yes/No] Answers (Please highlight the correct answer) Feedback (Optional feedback for each individual answer) Traffic exiting and entering a switch is copied to a network monitoring device. This is correct. When enabled on a switch, SPAN or port mirroring copies frames that are sent and received by the switch and forwards them to another port, known as a Switch Port Analyzer port, which has an analysis device attached. Real-time reporting and long-term analysis of security events are enabled. This is incorrect. Network analysts are able to access network device log files and to monitor network behaviour. This is incorrect. Statistics on packets flowing through Cisco routers and multilayer switches can be captured. This is incorrect. General Feedback [Multiple choice question] Question Question number: 5 Question text: What protocol is responsible for controlling the size of segments and the rate at which segments are exchanged between a web client and a web server? Settings Number of answers: [One/Multiple] Shuffle answers? [Yes/No] Answers (Please highlight the correct answer) Feedback (Optional feedback for each individual answer) Ethernet This is incorrect. IP This is incorrect. HTTP This is incorrect. TCP This is correct. TCP is a Layer 4 protocol of the OSI model. TCP has several responsibilities in the network communication process. It divides large messages into smaller segments which are more efficient to send across the network. It also controls the size and rate of segments exchanged between clients and servers. General Feedback [Multiple choice question] Question Question number: 6 Question text: A user is unable to reach the website when typing http://www.cisco.com in a web browser, but can reach the same site by typing http://72.163.4.161. What is the issue? Settings Number of answers: [One/Multiple] Shuffle answers? [Yes/No] Answers (Please highlight the correct answer) Feedback (Optional feedback for each individual answer) TCP/IP protocol stack This is incorrect. DHCP This is incorrect. DNS This is correct. Domain Name Service (DNS) is used to translate a web address to an IP address. The address of the DNS server is provided via DHCP to host computers. Default gateway This is incorrect. General Feedback [Multiple choice question] Question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t>
  </si>
  <si>
    <t xml:space="preserve">Medium | 0.908</t>
  </si>
  <si>
    <t xml:space="preserve">Firewall topologies</t>
  </si>
  <si>
    <t xml:space="preserve">What is a DMZ and why is it used?</t>
  </si>
  <si>
    <t xml:space="preserve">Segment between internet and internal; hosts public servers; limits access</t>
  </si>
  <si>
    <t xml:space="preserve">A DMZ (demilitarised zone) is a separate subnet—either physical or logical—that sits between an organisation’s internal LAN and an untrusted external network such as the Internet. The DMZ hosts publicly‑facing services (e.g., web, email, DNS) so that they are reachable from the Internet while keeping the rest of the internal network isolated.
It is used to:
1. **Limit exposure** – only the services in the DMZ are directly reachable from outside, reducing the attack surface for internal resources.  
2. **Contain compromise** – if a server in the DMZ is breached, the internal firewall (or the DMZ‑to‑internal firewall) can block or contain lateral movement, protecting application and database servers.  
3. **Allow controlled access** – internal‑to‑DMZ traffic can be tightly filtered, and vice versa, giving an extra layer of security over a single‑firewall setup.
(Week 5 – Firewall topologies lecture)</t>
  </si>
  <si>
    <t xml:space="preserve">[Source 1 | Week 5 | Firewall topologies | lecture | dist=0.922]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2 | Week 5 | Firewall topologies | lecture | dist=1.188]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
[Source 3 | Week 5 | 3.16 Quiz week 1-3  Attempt review   KEATS | quiz | dist=1.47]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[Source 4 | Week 5 | This week’s webinar | webinar | dist=1.492]
5.13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What is a firewall? What are the limitations of a firewall? How many different types of firewalls exist? Can you describe two possible attacks of a packet filter firewall? What is a circuit level gateway? What is the more advanced type of firewall in use today? Why is it used? Can you explain what a DMZ is and why it is useful in networking?
[Source 5 | Week 4 | DNS and DNS cache poisoning | lecture | dist=1.523]
4.7 DNS and DNS cache poisoning Humans access information online through domain names, like nytimes.com or espn.com because we find it easier to remember these names rather than plain IP addresses. However, web browsers interact through Internet Protocol (IP) addresses. The Domain Name System translates domain names to IP addresses so browsers can load internet resources. [Key concept box] The Domain Name System (DNS) is like the phonebook of the internet. Each device connected to the internet has a unique IP address which other machines use to find the device. DNS servers eliminate the need for humans to memorise IP addresses such as 192.168.1.1 (in IPv4), or more complex, newer, alphanumeric IP addresses such as 2400:cb00:2048:1::c629:d7a2 (in IPv6). Historically, this mapping was kept in a local file. However, as the internet keeps evolving, it became necessary to create a system that was scalable. This is the DNS. DNS has a hierarchical structure composed of three servers. [Graphic – full-width] Figure: DNS server hierarchy: root server at the top, branching out into TLD servers, branching out into authoritative servers. Caption: [Card vertical (no image)] Root name server The root server is the first step in translating (resolving) human readable host names into IP addresses. It can be thought of like an index in a library that points to different aisles of bookshelves. Typically, it serves as a reference to other more specific locations. [Card vertical (no image)] TLD name server The top-level domain server (TLD) can be thought of as a specific shelf of books in a library. This name server is the next step in the search for a specific IP address, and it hosts the last portion of a hostname (in google.com, the TLD server is ‘com’). [Card vertical (no image)] Authoritative name server This final name server can be thought of as a dictionary on a shelf of books, in which a specific name can be translated into its definition. The authoritative name server is the last stop in the name server query. If the authoritative name server has access to the requested record, it will return the IP address for the requested hostname back to the DNS recursor (aka the librarian) that made the initial request. You’ll notice that a ‘DNS recursor’ was mentioned above, and compared to the librarian who was asked to go find a particular book in the library scenario. The DNS recursor is a server designed to receive queries from client machines through applications such as web browsers. Typically, the recursor is then responsible for making additional requests in order to satisfy the client’s DNS query. There are two ways to interrogate a DNS server: iteratively or recursively. Iterative approach Let's have a look at how an iterative approach works. DNS queries always start at the root. The root will direct your query to one of its TLD name servers. Then you make a query to the TLD name server, and that name server redirects you to one of the authoritative name servers.</t>
  </si>
  <si>
    <t xml:space="preserve">Low | 1.319</t>
  </si>
  <si>
    <t xml:space="preserve">Bastion host</t>
  </si>
  <si>
    <t xml:space="preserve">What is a bastion host and its role in network security?</t>
  </si>
  <si>
    <t xml:space="preserve">Hardened host running proxies; minimal services; high security</t>
  </si>
  <si>
    <t xml:space="preserve">A bastion host is a specially hardened server that serves as the first line of defence between an untrusted external network (such as the Internet) and an organisation’s internal network.  It is designed to be more resistant to attacks than other hosts by running a minimal, secure operating system, limiting installed services to only those required for proxy or gateway functions, and employing strong authentication and comprehensive audit logging.  The host typically runs application‑level (or circuit‑level) proxies that can support multiple services; each proxy may require its own authentication and logs all traffic, connections, and durations, enabling detection and termination of intrusion attempts.  By isolating these proxy services on a single, highly secured machine, a bastion host provides a controlled point of entry that limits the attack surface, simplifies monitoring, and protects the rest of the internal network.  
(Week 5 lecture, “Firewall topologies – Bastion host and demilitarised zones”.)</t>
  </si>
  <si>
    <t xml:space="preserve">[Source 1 | Week 5 | Firewall topologies | lecture | dist=0.56]
5.8 Firewall topologies 1. Bastion host and demilitarised zones A firewall is positioned to provide a protective barrier between an external, potentially untrusted source of traffic and an internal network. A security administrator must decide on the location and on the number of firewalls needed. Let’s look at different ways of deploying firewalls. Bastion host [Float box (with image-left)] Because an application-level gateway is exposed to greater risk than the hosts it protects, the proxy server normally takes the form of a specially secured host, referred to as a bastion host. A bastion host is specifically designed to be more resistant to attacks than other hosts on the protected network. For instance, a bastion host will run a secure version of the operating system, and may allow only essential services to be installed with a restricted set of Telnet, DNS, FTP and SMTP protocols. In addition, a strong user authentication process is employed along with audit facilities that record any intrusion attempts. Bastion hosts may require additional authentication before a user is allowed access to proxy services. Each proxy may require its own authentication before granting user access. The proxies are usually configured to support only a subset of the standard application’s command set and to allow access only to specific host systems. They maintain detailed audit information by logging all traffic, each connection, and the duration of each connection. These audit logs are essential for discovering and terminating intruder attacks. Alt: A photo of a defensive castle tower Caption: [(Optional) caption text] Each of the proxies is independent of other proxies on the bastion host. They can be uninstalled without affecting the operation of the other proxy applications, and conversely, if the user population requires support for a new service, a network admin can easily install new proxies. They also run as non-privileged users in a private and secured directory on the bastion host. The software packages run on the bastion host are specifically designed for network security and thus they make it easier to check for security flaws. For example, a typical UNIX mail application may contain over 20,000 lines of code, while a mail proxy may contain less than 1,000. Host-based firewalls A host-based firewall is a software module used to secure individual hosts. It is available in many operating systems, or it can be provided as an add-on package. Like conventional stand-alone firewalls, host-resident firewalls filter and restrict the flow of packets. A common location for such firewalls is a server. There are several advantages to the use of a server-based or workstation-based firewalls: We can tailor filtering rules to the host environment. In fact, specific corporate security policies for servers can be implemented, with different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[Source 2 | Week 5 | 5.5.1 Quiz 5  Attempt review   KEATS | quiz | dist=0.768]
Feedback Sorry! You have failed to pass this quiz on this occasion. Please attempt it again Choose all the options that a ﬁrewall can be conﬁgured to control. a.to determine how a particular services can be accessed b.to determine the types of internet services that be accessed c. to determine the direction in which particular service requests may be initiated and allowed to ﬂow through the ﬁrewall d.to determine the location of an Internet server on the network e.to determine which user can be allowed to access a service Your answer is incorrect. The correct answers are: to determine the types of internet services that be accessed, to determine the direction in which particular service requests may be initiated and allowed to ﬂow through the ﬁrewall, to determine which user can be allowed to access a service, to determine how a particular services can be accessed Choose all the statement that are true about bastion host in networks in the context of network security. a.The proxy on a bastion host contains more lines of code to make it securer than typical application the proxy tries to protect. b.A bastion host gives root user privilege to proxy running on the host in a private and security directory. c. A bastion host may provide multiple proxies for multiple applications. d.A bastion host typically servers as a platform for an application-level or circuit-level proxy. e.A bastion host does not support addition authentication before a user is allowed access to proxy service. Your answer is incorrect. The correct answers are: A bastion host typically servers as a platform for an application-level or circuit-level proxy. , A bastion host may provide multiple proxies for multiple applications. A ﬁrewall determines the types of Internet services that can be accessed, inbound or outbound. We call this type of control _________________. a.behaviour control b.movement control c. service control d.user control e.direction controll Your answer is incorrect. The correct answer is: service control An attacker pretended to be a cleaner of a big IT company and left a couple of new USB sticks on the desks of some employees, which contains a virus. One of the employees unintentionally inserted the USB stick on their PCs, causing the whole company's network be infected. Which of the following options can be used to describe this type of attack? a.social engineering b.virus c. human attack d.sneakernet e.malware Your answer is incorrect. The correct answers are: sneakernet, social engineering Which one of the following security services do all network ﬁrewalls provide? a.availability b.access control c. integrity d.authentication e.conﬁdentiality Your answer is incorrect. The correct answer is: access control Choose all the options that apply to the application-level proxy ﬁrewall. a.One single proxy can provides ﬁrewall functions for multiple services b.In general, It is easier to log and audit all incoming traﬃc on an application-level proxy ﬁrewalls than stateful ﬁrewalls. c. An application-level proxy creates one connection with the server only, but not that with the client. d.Application-level proxy ﬁrewalls tend to be more
[Source 3 | Week 5 | Firewall topologies | lecture | dist=0.823]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
[Source 4 | Week 5 | Firewall topologies | lecture | dist=1.037]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5 | Week 5 | Firewall topologies | lecture | dist=1.104]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t>
  </si>
  <si>
    <t xml:space="preserve">Metric</t>
  </si>
  <si>
    <t xml:space="preserve">Source</t>
  </si>
  <si>
    <t xml:space="preserve">What it measures</t>
  </si>
  <si>
    <t xml:space="preserve">1-5 Scoring guide</t>
  </si>
  <si>
    <t xml:space="preserve">M1: Answer Correctness</t>
  </si>
  <si>
    <t xml:space="preserve">Zheng et al. (2023) — LLM-as-judge</t>
  </si>
  <si>
    <t xml:space="preserve">Is the answer factually correct vs the gold 'must include' concepts?</t>
  </si>
  <si>
    <t xml:space="preserve">5 = all key concepts correct, no errors  |  4 = all correct, minor omission  |  3 = core correct, missing a major point  |  2 = largely incorrect  |  1 = wrong</t>
  </si>
  <si>
    <t xml:space="preserve">M2: Faithfulness</t>
  </si>
  <si>
    <t xml:space="preserve">RAGAS (Es et al., 2024)</t>
  </si>
  <si>
    <t xml:space="preserve">Are the answer's claims supported by the retrieved chunks (not outside knowledge)?</t>
  </si>
  <si>
    <t xml:space="preserve">5 = every claim grounded in sources  |  3 = mostly grounded, some drift  |  1 = relies heavily on outside knowledge / hallucination</t>
  </si>
  <si>
    <t xml:space="preserve">M3: Answer Relevance</t>
  </si>
  <si>
    <t xml:space="preserve">Does the answer directly address the question (no padding/incompleteness)?</t>
  </si>
  <si>
    <t xml:space="preserve">5 = fully addresses the question  |  3 = partial or some redundancy  |  1 = off-topic or very incomplete</t>
  </si>
  <si>
    <t xml:space="preserve">M4: Context Relevance</t>
  </si>
  <si>
    <t xml:space="preserve">Were the retrieved chunks actually relevant to the question?</t>
  </si>
  <si>
    <t xml:space="preserve">5 = all 5 chunks relevant &amp; correct week  |  3 = mixed relevance  |  1 = mostly irrelevant / wrong-week chunks</t>
  </si>
  <si>
    <t xml:space="preserve">M5: Latency</t>
  </si>
  <si>
    <t xml:space="preserve">Supervisor request</t>
  </si>
  <si>
    <t xml:space="preserve">Wall-clock response time in seconds (shown in the app).</t>
  </si>
  <si>
    <t xml:space="preserve">Record the number directly — no scoring. Report mean/median across all 50.</t>
  </si>
  <si>
    <t xml:space="preserve">NOTE: M1 is scored against your gold 'must include' column. M2-M4 follow the RAGAS definitions but are scored manually on a 1-5 scale here (rather than via the RAGAS library) to keep the evaluation reproducible without extra API dependencies. This manual adaptation is stated in the methodology and cited to RAGAS. M4 can use the retrieved-source list + distances already shown in the app.</t>
  </si>
  <si>
    <t xml:space="preserve">How to calculate</t>
  </si>
  <si>
    <t xml:space="preserve">Result</t>
  </si>
  <si>
    <t xml:space="preserve">OVERALL SCORES</t>
  </si>
  <si>
    <t xml:space="preserve">Mean M1 Correctness</t>
  </si>
  <si>
    <t xml:space="preserve">Average column I</t>
  </si>
  <si>
    <t xml:space="preserve">Mean M2 Faithfulness</t>
  </si>
  <si>
    <t xml:space="preserve">Average column J</t>
  </si>
  <si>
    <t xml:space="preserve">Mean M3 Answer Relevance</t>
  </si>
  <si>
    <t xml:space="preserve">Average column K</t>
  </si>
  <si>
    <t xml:space="preserve">Mean M4 Context Relevance</t>
  </si>
  <si>
    <t xml:space="preserve">Average column L</t>
  </si>
  <si>
    <t xml:space="preserve">Mean M5 Latency (s)</t>
  </si>
  <si>
    <t xml:space="preserve">Average column M</t>
  </si>
  <si>
    <t xml:space="preserve">Median M5 Latency (s)</t>
  </si>
  <si>
    <t xml:space="preserve">Median column M</t>
  </si>
  <si>
    <t xml:space="preserve">BY DIFFICULTY (mean M1 Correctness)</t>
  </si>
  <si>
    <t xml:space="preserve">Easy questions</t>
  </si>
  <si>
    <t xml:space="preserve">Avg M1 where Difficulty=Easy</t>
  </si>
  <si>
    <t xml:space="preserve">Medium questions</t>
  </si>
  <si>
    <t xml:space="preserve">Avg M1 where Difficulty=Medium</t>
  </si>
  <si>
    <t xml:space="preserve">Hard questions</t>
  </si>
  <si>
    <t xml:space="preserve">Avg M1 where Difficulty=Hard</t>
  </si>
  <si>
    <t xml:space="preserve">BY WEEK (mean M1 Correctness)</t>
  </si>
  <si>
    <t xml:space="preserve">Avg M1 where Week=1</t>
  </si>
  <si>
    <t xml:space="preserve">Avg M1 where Week=2</t>
  </si>
  <si>
    <t xml:space="preserve">Avg M1 where Week=3</t>
  </si>
  <si>
    <t xml:space="preserve">Avg M1 where Week=4</t>
  </si>
  <si>
    <t xml:space="preserve">Avg M1 where Week=5</t>
  </si>
  <si>
    <t xml:space="preserve">CONFIDENCE CALIBRATION</t>
  </si>
  <si>
    <t xml:space="preserve">Mean M1 where Confidence=High</t>
  </si>
  <si>
    <t xml:space="preserve">Avg M1 for High-band answers</t>
  </si>
  <si>
    <t xml:space="preserve">Mean M1 where Confidence=Medium</t>
  </si>
  <si>
    <t xml:space="preserve">Avg M1 for Medium-band answers</t>
  </si>
  <si>
    <t xml:space="preserve">Mean M1 where Confidence=Low</t>
  </si>
  <si>
    <t xml:space="preserve">Avg M1 for Low-band answers</t>
  </si>
  <si>
    <t xml:space="preserve">Calibration holds?</t>
  </si>
  <si>
    <t xml:space="preserve">High &gt; Medium &gt; Low mean correctness = well calibrated</t>
  </si>
  <si>
    <t xml:space="preserve">PREREQUISITE TRIGGER</t>
  </si>
  <si>
    <t xml:space="preserve">Should fire (from gold)</t>
  </si>
  <si>
    <t xml:space="preserve">Count 'Yes*' in column G</t>
  </si>
  <si>
    <t xml:space="preserve">Actually fired</t>
  </si>
  <si>
    <t xml:space="preserve">Count 'Y' in column O</t>
  </si>
  <si>
    <t xml:space="preserve">Correct triggers</t>
  </si>
  <si>
    <t xml:space="preserve">Fired AND should fire</t>
  </si>
  <si>
    <t xml:space="preserve">Missed (false negative)</t>
  </si>
  <si>
    <t xml:space="preserve">Should fire but didn't</t>
  </si>
  <si>
    <t xml:space="preserve">False triggers (false positive)</t>
  </si>
  <si>
    <t xml:space="preserve">Fired but shouldn't</t>
  </si>
  <si>
    <t xml:space="preserve">Trigger precision</t>
  </si>
  <si>
    <t xml:space="preserve">Correct / Actually fired</t>
  </si>
  <si>
    <t xml:space="preserve">Trigger recall</t>
  </si>
  <si>
    <t xml:space="preserve">Correct / Should fire</t>
  </si>
  <si>
    <t xml:space="preserve">CALIBRATION AGAINST FAITHFULNESS (M2)</t>
  </si>
  <si>
    <t xml:space="preserve">Mean M2 where Confidence=High</t>
  </si>
  <si>
    <t xml:space="preserve">Avg M2 for High-band answers</t>
  </si>
  <si>
    <t xml:space="preserve">Mean M2 where Confidence=Medium</t>
  </si>
  <si>
    <t xml:space="preserve">Avg M2 for Medium-band answers</t>
  </si>
  <si>
    <t xml:space="preserve">Mean M2 where Confidence=Low</t>
  </si>
  <si>
    <t xml:space="preserve">Avg M2 for Low-band answers</t>
  </si>
  <si>
    <t xml:space="preserve">Faithfulness calibration holds?</t>
  </si>
  <si>
    <t xml:space="preserve">High &gt; Medium &gt; Low mean faithfulness = band tracks groundedness</t>
  </si>
  <si>
    <t xml:space="preserve">BAND DISTRIBUTION</t>
  </si>
  <si>
    <t xml:space="preserve">Answers in High band</t>
  </si>
  <si>
    <t xml:space="preserve">Count 'High' in column N</t>
  </si>
  <si>
    <t xml:space="preserve">Answers in Medium band</t>
  </si>
  <si>
    <t xml:space="preserve">Count 'Medium' in column N</t>
  </si>
  <si>
    <t xml:space="preserve">Answers in Low band</t>
  </si>
  <si>
    <t xml:space="preserve">Count 'Low' in column N</t>
  </si>
  <si>
    <t xml:space="preserve">RETRIEVAL QUALITY</t>
  </si>
  <si>
    <t xml:space="preserve">Questions with M4 &lt;= 2 (poor retrieval)</t>
  </si>
  <si>
    <t xml:space="preserve">Count M4 of 1 or 2 in column L</t>
  </si>
  <si>
    <t xml:space="preserve">Mean M1 where M4 &lt;= 2</t>
  </si>
  <si>
    <t xml:space="preserve">Correctness when retrieval was poor</t>
  </si>
  <si>
    <t xml:space="preserve">Mean M2 where M4 &lt;= 2</t>
  </si>
  <si>
    <t xml:space="preserve">Faithfulness when retrieval was poor</t>
  </si>
</sst>
</file>

<file path=xl/styles.xml><?xml version="1.0" encoding="utf-8"?>
<styleSheet xmlns="http://schemas.openxmlformats.org/spreadsheetml/2006/main">
  <numFmts count="6">
    <numFmt numFmtId="164" formatCode="General"/>
    <numFmt numFmtId="165" formatCode="_(* #,##0.00_);_(* \(#,##0.00\);_(* \-??_);_(@_)"/>
    <numFmt numFmtId="166" formatCode="_(* #,##0_);_(* \(#,##0\);_(* \-_);_(@_)"/>
    <numFmt numFmtId="167" formatCode="_(\$* #,##0.00_);_(\$* \(#,##0.00\);_(\$* \-??_);_(@_)"/>
    <numFmt numFmtId="168" formatCode="_(\$* #,##0_);_(\$* \(#,##0\);_(\$* \-_);_(@_)"/>
    <numFmt numFmtId="169" formatCode="0%"/>
  </numFmts>
  <fonts count="14">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0"/>
      <charset val="1"/>
    </font>
    <font>
      <b val="true"/>
      <sz val="10"/>
      <color rgb="FFFFFFFF"/>
      <name val="Arial"/>
      <family val="0"/>
      <charset val="1"/>
    </font>
    <font>
      <b val="true"/>
      <sz val="9"/>
      <color rgb="FF1F2937"/>
      <name val="Arial"/>
      <family val="0"/>
      <charset val="1"/>
    </font>
    <font>
      <sz val="9"/>
      <color rgb="FF1F2937"/>
      <name val="Arial"/>
      <family val="0"/>
      <charset val="1"/>
    </font>
    <font>
      <sz val="9"/>
      <color rgb="FF1F2937"/>
      <name val="Noto Sans CJK SC"/>
      <family val="2"/>
    </font>
    <font>
      <i val="true"/>
      <sz val="9"/>
      <color rgb="FF6B7280"/>
      <name val="Arial"/>
      <family val="0"/>
      <charset val="1"/>
    </font>
    <font>
      <b val="true"/>
      <sz val="10"/>
      <color rgb="FF1E40AF"/>
      <name val="Arial"/>
      <family val="0"/>
      <charset val="1"/>
    </font>
    <font>
      <sz val="9"/>
      <color rgb="FF374151"/>
      <name val="Arial"/>
      <family val="0"/>
      <charset val="1"/>
    </font>
    <font>
      <sz val="10"/>
      <color rgb="FF1F2937"/>
      <name val="Arial"/>
      <family val="0"/>
      <charset val="1"/>
    </font>
  </fonts>
  <fills count="12">
    <fill>
      <patternFill patternType="none"/>
    </fill>
    <fill>
      <patternFill patternType="gray125"/>
    </fill>
    <fill>
      <patternFill patternType="solid">
        <fgColor rgb="FF1E40AF"/>
        <bgColor rgb="FF003366"/>
      </patternFill>
    </fill>
    <fill>
      <patternFill patternType="solid">
        <fgColor rgb="FFDBEAFE"/>
        <bgColor rgb="FFF3E8FF"/>
      </patternFill>
    </fill>
    <fill>
      <patternFill patternType="solid">
        <fgColor rgb="FFDCFCE7"/>
        <bgColor rgb="FFD1FAE5"/>
      </patternFill>
    </fill>
    <fill>
      <patternFill patternType="solid">
        <fgColor rgb="FFFFFBEB"/>
        <bgColor rgb="FFFFFFFF"/>
      </patternFill>
    </fill>
    <fill>
      <patternFill patternType="solid">
        <fgColor rgb="FFFEF3C7"/>
        <bgColor rgb="FFFEF9C3"/>
      </patternFill>
    </fill>
    <fill>
      <patternFill patternType="solid">
        <fgColor rgb="FFFEE2E2"/>
        <bgColor rgb="FFFFE4E6"/>
      </patternFill>
    </fill>
    <fill>
      <patternFill patternType="solid">
        <fgColor rgb="FFD1FAE5"/>
        <bgColor rgb="FFDCFCE7"/>
      </patternFill>
    </fill>
    <fill>
      <patternFill patternType="solid">
        <fgColor rgb="FFFEF9C3"/>
        <bgColor rgb="FFFEF3C7"/>
      </patternFill>
    </fill>
    <fill>
      <patternFill patternType="solid">
        <fgColor rgb="FFFFE4E6"/>
        <bgColor rgb="FFFEE2E2"/>
      </patternFill>
    </fill>
    <fill>
      <patternFill patternType="solid">
        <fgColor rgb="FFF3E8FF"/>
        <bgColor rgb="FFFFE4E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true" applyProtection="false">
      <alignment horizontal="general" vertical="bottom" textRotation="0" wrapText="false" indent="0" shrinkToFit="false"/>
      <protection locked="true" hidden="false"/>
    </xf>
    <xf numFmtId="164" fontId="6" fillId="2" borderId="1" xfId="24" applyFont="true" applyBorder="true" applyAlignment="true" applyProtection="false">
      <alignment horizontal="center" vertical="center" textRotation="0" wrapText="true" indent="0" shrinkToFit="false"/>
      <protection locked="true" hidden="false"/>
    </xf>
    <xf numFmtId="164" fontId="7" fillId="3" borderId="1" xfId="24" applyFont="true" applyBorder="true" applyAlignment="true" applyProtection="false">
      <alignment horizontal="general" vertical="top" textRotation="0" wrapText="true" indent="0" shrinkToFit="false"/>
      <protection locked="true" hidden="false"/>
    </xf>
    <xf numFmtId="164" fontId="8" fillId="3" borderId="1" xfId="24" applyFont="true" applyBorder="true" applyAlignment="true" applyProtection="false">
      <alignment horizontal="general" vertical="top" textRotation="0" wrapText="true" indent="0" shrinkToFit="false"/>
      <protection locked="true" hidden="false"/>
    </xf>
    <xf numFmtId="164" fontId="7" fillId="4" borderId="1" xfId="24" applyFont="true" applyBorder="true" applyAlignment="true" applyProtection="false">
      <alignment horizontal="general" vertical="top" textRotation="0" wrapText="true" indent="0" shrinkToFit="false"/>
      <protection locked="true" hidden="false"/>
    </xf>
    <xf numFmtId="164" fontId="8" fillId="5" borderId="1" xfId="24" applyFont="true" applyBorder="true" applyAlignment="true" applyProtection="false">
      <alignment horizontal="general" vertical="top" textRotation="0" wrapText="true" indent="0" shrinkToFit="false"/>
      <protection locked="true" hidden="false"/>
    </xf>
    <xf numFmtId="164" fontId="5" fillId="0" borderId="0" xfId="24" applyFont="true" applyBorder="false" applyAlignment="true" applyProtection="false">
      <alignment horizontal="general" vertical="bottom" textRotation="0" wrapText="true" indent="0" shrinkToFit="false"/>
      <protection locked="true" hidden="false"/>
    </xf>
    <xf numFmtId="164" fontId="7" fillId="6" borderId="1" xfId="24" applyFont="true" applyBorder="true" applyAlignment="true" applyProtection="false">
      <alignment horizontal="general" vertical="top" textRotation="0" wrapText="true" indent="0" shrinkToFit="false"/>
      <protection locked="true" hidden="false"/>
    </xf>
    <xf numFmtId="164" fontId="7" fillId="7" borderId="1" xfId="24" applyFont="true" applyBorder="true" applyAlignment="true" applyProtection="false">
      <alignment horizontal="general" vertical="top" textRotation="0" wrapText="true" indent="0" shrinkToFit="false"/>
      <protection locked="true" hidden="false"/>
    </xf>
    <xf numFmtId="164" fontId="7" fillId="8" borderId="1" xfId="24" applyFont="true" applyBorder="true" applyAlignment="true" applyProtection="false">
      <alignment horizontal="general" vertical="top" textRotation="0" wrapText="true" indent="0" shrinkToFit="false"/>
      <protection locked="true" hidden="false"/>
    </xf>
    <xf numFmtId="164" fontId="8" fillId="8" borderId="1" xfId="24" applyFont="true" applyBorder="true" applyAlignment="true" applyProtection="false">
      <alignment horizontal="general" vertical="top" textRotation="0" wrapText="true" indent="0" shrinkToFit="false"/>
      <protection locked="true" hidden="false"/>
    </xf>
    <xf numFmtId="164" fontId="7" fillId="9" borderId="1" xfId="24" applyFont="true" applyBorder="true" applyAlignment="true" applyProtection="false">
      <alignment horizontal="general" vertical="top" textRotation="0" wrapText="true" indent="0" shrinkToFit="false"/>
      <protection locked="true" hidden="false"/>
    </xf>
    <xf numFmtId="164" fontId="8" fillId="9" borderId="1" xfId="24" applyFont="true" applyBorder="true" applyAlignment="true" applyProtection="false">
      <alignment horizontal="general" vertical="top" textRotation="0" wrapText="true" indent="0" shrinkToFit="false"/>
      <protection locked="true" hidden="false"/>
    </xf>
    <xf numFmtId="164" fontId="7" fillId="10" borderId="1" xfId="24" applyFont="true" applyBorder="true" applyAlignment="true" applyProtection="false">
      <alignment horizontal="general" vertical="top" textRotation="0" wrapText="true" indent="0" shrinkToFit="false"/>
      <protection locked="true" hidden="false"/>
    </xf>
    <xf numFmtId="164" fontId="8" fillId="10" borderId="1" xfId="24" applyFont="true" applyBorder="true" applyAlignment="true" applyProtection="false">
      <alignment horizontal="general" vertical="top" textRotation="0" wrapText="true" indent="0" shrinkToFit="false"/>
      <protection locked="true" hidden="false"/>
    </xf>
    <xf numFmtId="164" fontId="7" fillId="11" borderId="1" xfId="24" applyFont="true" applyBorder="true" applyAlignment="true" applyProtection="false">
      <alignment horizontal="general" vertical="top" textRotation="0" wrapText="true" indent="0" shrinkToFit="false"/>
      <protection locked="true" hidden="false"/>
    </xf>
    <xf numFmtId="164" fontId="8" fillId="11" borderId="1" xfId="24" applyFont="true" applyBorder="true" applyAlignment="true" applyProtection="false">
      <alignment horizontal="general" vertical="top" textRotation="0" wrapText="true" indent="0" shrinkToFit="false"/>
      <protection locked="true" hidden="false"/>
    </xf>
    <xf numFmtId="164" fontId="7" fillId="0" borderId="1" xfId="24" applyFont="true" applyBorder="true" applyAlignment="true" applyProtection="false">
      <alignment horizontal="general" vertical="top" textRotation="0" wrapText="true" indent="0" shrinkToFit="false"/>
      <protection locked="true" hidden="false"/>
    </xf>
    <xf numFmtId="164" fontId="8" fillId="0" borderId="1" xfId="24" applyFont="true" applyBorder="true" applyAlignment="true" applyProtection="false">
      <alignment horizontal="general" vertical="top" textRotation="0" wrapText="true" indent="0" shrinkToFit="false"/>
      <protection locked="true" hidden="false"/>
    </xf>
    <xf numFmtId="164" fontId="10" fillId="0" borderId="0" xfId="24" applyFont="true" applyBorder="true" applyAlignment="true" applyProtection="false">
      <alignment horizontal="general" vertical="top" textRotation="0" wrapText="true" indent="0" shrinkToFit="false"/>
      <protection locked="true" hidden="false"/>
    </xf>
    <xf numFmtId="164" fontId="11" fillId="0" borderId="1" xfId="24" applyFont="true" applyBorder="true" applyAlignment="true" applyProtection="false">
      <alignment horizontal="general" vertical="top" textRotation="0" wrapText="true" indent="0" shrinkToFit="false"/>
      <protection locked="true" hidden="false"/>
    </xf>
    <xf numFmtId="164" fontId="12" fillId="0" borderId="1" xfId="24" applyFont="true" applyBorder="true" applyAlignment="true" applyProtection="false">
      <alignment horizontal="general" vertical="top" textRotation="0" wrapText="true" indent="0" shrinkToFit="false"/>
      <protection locked="true" hidden="false"/>
    </xf>
    <xf numFmtId="164" fontId="13" fillId="5" borderId="1" xfId="24" applyFont="true" applyBorder="true" applyAlignment="true" applyProtection="false">
      <alignment horizontal="general" vertical="top" textRotation="0" wrapText="true" indent="0" shrinkToFit="false"/>
      <protection locked="true" hidden="false"/>
    </xf>
    <xf numFmtId="164" fontId="13" fillId="0" borderId="1" xfId="24" applyFont="true" applyBorder="true" applyAlignment="true" applyProtection="false">
      <alignment horizontal="general"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E4E6"/>
      <rgbColor rgb="FF808080"/>
      <rgbColor rgb="FF9999FF"/>
      <rgbColor rgb="FF993366"/>
      <rgbColor rgb="FFFEF9C3"/>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DBEAFE"/>
      <rgbColor rgb="FFD1FAE5"/>
      <rgbColor rgb="FFFEF3C7"/>
      <rgbColor rgb="FFF3E8FF"/>
      <rgbColor rgb="FFFFFBEB"/>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74151"/>
      <rgbColor rgb="FF993300"/>
      <rgbColor rgb="FF993366"/>
      <rgbColor rgb="FF1E40A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
    <col collapsed="false" customWidth="true" hidden="false" outlineLevel="0" max="2" min="2" style="1" width="8"/>
    <col collapsed="false" customWidth="true" hidden="false" outlineLevel="0" max="3" min="3" style="1" width="10"/>
    <col collapsed="false" customWidth="true" hidden="false" outlineLevel="0" max="4" min="4" style="1" width="18"/>
    <col collapsed="false" customWidth="true" hidden="false" outlineLevel="0" max="5" min="5" style="1" width="40"/>
    <col collapsed="false" customWidth="true" hidden="false" outlineLevel="0" max="6" min="6" style="1" width="42"/>
    <col collapsed="false" customWidth="true" hidden="false" outlineLevel="0" max="7" min="7" style="1" width="16"/>
    <col collapsed="false" customWidth="true" hidden="false" outlineLevel="0" max="8" min="8" style="1" width="40"/>
    <col collapsed="false" customWidth="true" hidden="false" outlineLevel="0" max="10" min="9" style="1" width="12"/>
    <col collapsed="false" customWidth="true" hidden="false" outlineLevel="0" max="12" min="11" style="1" width="13"/>
    <col collapsed="false" customWidth="true" hidden="false" outlineLevel="0" max="13" min="13" style="1" width="11"/>
    <col collapsed="false" customWidth="true" hidden="false" outlineLevel="0" max="14" min="14" style="1" width="13"/>
    <col collapsed="false" customWidth="true" hidden="false" outlineLevel="0" max="15" min="15" style="1" width="12"/>
    <col collapsed="false" customWidth="true" hidden="false" outlineLevel="0" max="16" min="16" style="1" width="30"/>
  </cols>
  <sheetData>
    <row r="1" customFormat="false" ht="54.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16</v>
      </c>
      <c r="R1" s="1" t="s">
        <v>17</v>
      </c>
      <c r="S1" s="1" t="s">
        <v>18</v>
      </c>
    </row>
    <row r="2" customFormat="false" ht="57.75" hidden="false" customHeight="true" outlineLevel="0" collapsed="false">
      <c r="A2" s="3" t="n">
        <v>1</v>
      </c>
      <c r="B2" s="4" t="s">
        <v>19</v>
      </c>
      <c r="C2" s="5" t="s">
        <v>20</v>
      </c>
      <c r="D2" s="4" t="s">
        <v>21</v>
      </c>
      <c r="E2" s="4" t="s">
        <v>22</v>
      </c>
      <c r="F2" s="4" t="s">
        <v>23</v>
      </c>
      <c r="G2" s="4" t="s">
        <v>24</v>
      </c>
      <c r="H2" s="6" t="s">
        <v>25</v>
      </c>
      <c r="I2" s="6" t="n">
        <v>5</v>
      </c>
      <c r="J2" s="6" t="n">
        <v>4</v>
      </c>
      <c r="K2" s="6" t="n">
        <v>5</v>
      </c>
      <c r="L2" s="6" t="n">
        <v>3</v>
      </c>
      <c r="M2" s="6" t="n">
        <v>1.16</v>
      </c>
      <c r="N2" s="6" t="s">
        <v>26</v>
      </c>
      <c r="O2" s="6" t="s">
        <v>27</v>
      </c>
      <c r="P2" s="6"/>
      <c r="Q2" s="7" t="s">
        <v>28</v>
      </c>
      <c r="R2" s="1" t="s">
        <v>29</v>
      </c>
      <c r="S2" s="1" t="n">
        <v>3</v>
      </c>
    </row>
    <row r="3" customFormat="false" ht="57.75" hidden="false" customHeight="true" outlineLevel="0" collapsed="false">
      <c r="A3" s="3" t="n">
        <v>2</v>
      </c>
      <c r="B3" s="4" t="s">
        <v>19</v>
      </c>
      <c r="C3" s="5" t="s">
        <v>20</v>
      </c>
      <c r="D3" s="4" t="s">
        <v>30</v>
      </c>
      <c r="E3" s="4" t="s">
        <v>31</v>
      </c>
      <c r="F3" s="4" t="s">
        <v>32</v>
      </c>
      <c r="G3" s="4" t="s">
        <v>24</v>
      </c>
      <c r="H3" s="6" t="s">
        <v>33</v>
      </c>
      <c r="I3" s="6" t="n">
        <v>5</v>
      </c>
      <c r="J3" s="6" t="n">
        <v>2</v>
      </c>
      <c r="K3" s="6" t="n">
        <v>5</v>
      </c>
      <c r="L3" s="6" t="n">
        <v>2</v>
      </c>
      <c r="M3" s="6" t="n">
        <v>0.67</v>
      </c>
      <c r="N3" s="6" t="s">
        <v>26</v>
      </c>
      <c r="O3" s="6" t="s">
        <v>27</v>
      </c>
      <c r="P3" s="6"/>
      <c r="Q3" s="7" t="s">
        <v>34</v>
      </c>
      <c r="R3" s="1" t="s">
        <v>35</v>
      </c>
      <c r="S3" s="1" t="n">
        <v>2</v>
      </c>
    </row>
    <row r="4" customFormat="false" ht="57.75" hidden="false" customHeight="true" outlineLevel="0" collapsed="false">
      <c r="A4" s="3" t="n">
        <v>3</v>
      </c>
      <c r="B4" s="4" t="s">
        <v>19</v>
      </c>
      <c r="C4" s="8" t="s">
        <v>36</v>
      </c>
      <c r="D4" s="4" t="s">
        <v>21</v>
      </c>
      <c r="E4" s="4" t="s">
        <v>37</v>
      </c>
      <c r="F4" s="4" t="s">
        <v>38</v>
      </c>
      <c r="G4" s="4" t="s">
        <v>24</v>
      </c>
      <c r="H4" s="6" t="s">
        <v>39</v>
      </c>
      <c r="I4" s="6" t="n">
        <v>4</v>
      </c>
      <c r="J4" s="6" t="n">
        <v>5</v>
      </c>
      <c r="K4" s="6" t="n">
        <v>4</v>
      </c>
      <c r="L4" s="6" t="n">
        <v>4</v>
      </c>
      <c r="M4" s="6" t="n">
        <v>25.13</v>
      </c>
      <c r="N4" s="6" t="s">
        <v>36</v>
      </c>
      <c r="O4" s="6" t="s">
        <v>27</v>
      </c>
      <c r="P4" s="6"/>
      <c r="Q4" s="7" t="s">
        <v>40</v>
      </c>
      <c r="R4" s="1" t="s">
        <v>41</v>
      </c>
      <c r="S4" s="1" t="n">
        <v>3</v>
      </c>
    </row>
    <row r="5" customFormat="false" ht="57.75" hidden="false" customHeight="true" outlineLevel="0" collapsed="false">
      <c r="A5" s="3" t="n">
        <v>4</v>
      </c>
      <c r="B5" s="4" t="s">
        <v>19</v>
      </c>
      <c r="C5" s="8" t="s">
        <v>36</v>
      </c>
      <c r="D5" s="4" t="s">
        <v>42</v>
      </c>
      <c r="E5" s="4" t="s">
        <v>43</v>
      </c>
      <c r="F5" s="4" t="s">
        <v>44</v>
      </c>
      <c r="G5" s="4" t="s">
        <v>24</v>
      </c>
      <c r="H5" s="6" t="s">
        <v>45</v>
      </c>
      <c r="I5" s="6" t="n">
        <v>5</v>
      </c>
      <c r="J5" s="6" t="n">
        <v>3</v>
      </c>
      <c r="K5" s="6" t="n">
        <v>5</v>
      </c>
      <c r="L5" s="6" t="n">
        <v>3</v>
      </c>
      <c r="M5" s="6" t="n">
        <v>22.16</v>
      </c>
      <c r="N5" s="6" t="s">
        <v>26</v>
      </c>
      <c r="O5" s="6" t="s">
        <v>27</v>
      </c>
      <c r="P5" s="6"/>
      <c r="Q5" s="7" t="s">
        <v>46</v>
      </c>
      <c r="R5" s="1" t="s">
        <v>47</v>
      </c>
      <c r="S5" s="1" t="n">
        <v>2</v>
      </c>
    </row>
    <row r="6" customFormat="false" ht="57.75" hidden="false" customHeight="true" outlineLevel="0" collapsed="false">
      <c r="A6" s="3" t="n">
        <v>5</v>
      </c>
      <c r="B6" s="4" t="s">
        <v>19</v>
      </c>
      <c r="C6" s="8" t="s">
        <v>36</v>
      </c>
      <c r="D6" s="4" t="s">
        <v>48</v>
      </c>
      <c r="E6" s="4" t="s">
        <v>49</v>
      </c>
      <c r="F6" s="4" t="s">
        <v>50</v>
      </c>
      <c r="G6" s="4" t="s">
        <v>24</v>
      </c>
      <c r="H6" s="6" t="s">
        <v>51</v>
      </c>
      <c r="I6" s="6" t="n">
        <v>5</v>
      </c>
      <c r="J6" s="6" t="n">
        <v>4</v>
      </c>
      <c r="K6" s="6" t="n">
        <v>5</v>
      </c>
      <c r="L6" s="6" t="n">
        <v>4</v>
      </c>
      <c r="M6" s="6" t="n">
        <v>29.88</v>
      </c>
      <c r="N6" s="6" t="s">
        <v>26</v>
      </c>
      <c r="O6" s="6" t="s">
        <v>27</v>
      </c>
      <c r="P6" s="6"/>
      <c r="Q6" s="7" t="s">
        <v>52</v>
      </c>
      <c r="R6" s="1" t="s">
        <v>53</v>
      </c>
      <c r="S6" s="1" t="n">
        <v>3</v>
      </c>
    </row>
    <row r="7" customFormat="false" ht="57.75" hidden="false" customHeight="true" outlineLevel="0" collapsed="false">
      <c r="A7" s="3" t="n">
        <v>6</v>
      </c>
      <c r="B7" s="4" t="s">
        <v>19</v>
      </c>
      <c r="C7" s="8" t="s">
        <v>36</v>
      </c>
      <c r="D7" s="4" t="s">
        <v>42</v>
      </c>
      <c r="E7" s="4" t="s">
        <v>54</v>
      </c>
      <c r="F7" s="4" t="s">
        <v>55</v>
      </c>
      <c r="G7" s="4" t="s">
        <v>24</v>
      </c>
      <c r="H7" s="6" t="s">
        <v>56</v>
      </c>
      <c r="I7" s="6" t="n">
        <v>4</v>
      </c>
      <c r="J7" s="6" t="n">
        <v>1</v>
      </c>
      <c r="K7" s="6" t="n">
        <v>5</v>
      </c>
      <c r="L7" s="6" t="n">
        <v>2</v>
      </c>
      <c r="M7" s="6" t="n">
        <v>24.8</v>
      </c>
      <c r="N7" s="6" t="s">
        <v>26</v>
      </c>
      <c r="O7" s="6" t="s">
        <v>27</v>
      </c>
      <c r="P7" s="6"/>
      <c r="Q7" s="7" t="s">
        <v>57</v>
      </c>
      <c r="R7" s="1" t="s">
        <v>58</v>
      </c>
      <c r="S7" s="1" t="n">
        <v>1</v>
      </c>
    </row>
    <row r="8" customFormat="false" ht="57.75" hidden="false" customHeight="true" outlineLevel="0" collapsed="false">
      <c r="A8" s="3" t="n">
        <v>7</v>
      </c>
      <c r="B8" s="4" t="s">
        <v>19</v>
      </c>
      <c r="C8" s="8" t="s">
        <v>36</v>
      </c>
      <c r="D8" s="4" t="s">
        <v>48</v>
      </c>
      <c r="E8" s="4" t="s">
        <v>59</v>
      </c>
      <c r="F8" s="4" t="s">
        <v>60</v>
      </c>
      <c r="G8" s="4" t="s">
        <v>24</v>
      </c>
      <c r="H8" s="6" t="s">
        <v>61</v>
      </c>
      <c r="I8" s="6" t="n">
        <v>5</v>
      </c>
      <c r="J8" s="6" t="n">
        <v>4</v>
      </c>
      <c r="K8" s="6" t="n">
        <v>5</v>
      </c>
      <c r="L8" s="6" t="n">
        <v>2</v>
      </c>
      <c r="M8" s="6" t="n">
        <v>22.19</v>
      </c>
      <c r="N8" s="6" t="s">
        <v>26</v>
      </c>
      <c r="O8" s="6" t="s">
        <v>27</v>
      </c>
      <c r="P8" s="6"/>
      <c r="Q8" s="7" t="s">
        <v>62</v>
      </c>
      <c r="R8" s="1" t="s">
        <v>63</v>
      </c>
      <c r="S8" s="1" t="n">
        <v>3</v>
      </c>
    </row>
    <row r="9" customFormat="false" ht="57.75" hidden="false" customHeight="true" outlineLevel="0" collapsed="false">
      <c r="A9" s="3" t="n">
        <v>8</v>
      </c>
      <c r="B9" s="4" t="s">
        <v>19</v>
      </c>
      <c r="C9" s="9" t="s">
        <v>64</v>
      </c>
      <c r="D9" s="4" t="s">
        <v>65</v>
      </c>
      <c r="E9" s="4" t="s">
        <v>66</v>
      </c>
      <c r="F9" s="4" t="s">
        <v>67</v>
      </c>
      <c r="G9" s="4" t="s">
        <v>24</v>
      </c>
      <c r="H9" s="6" t="s">
        <v>68</v>
      </c>
      <c r="I9" s="6" t="n">
        <v>5</v>
      </c>
      <c r="J9" s="6" t="n">
        <v>5</v>
      </c>
      <c r="K9" s="6" t="n">
        <v>5</v>
      </c>
      <c r="L9" s="6" t="n">
        <v>5</v>
      </c>
      <c r="M9" s="6" t="n">
        <v>26.7</v>
      </c>
      <c r="N9" s="6" t="s">
        <v>36</v>
      </c>
      <c r="O9" s="6" t="s">
        <v>27</v>
      </c>
      <c r="P9" s="6"/>
      <c r="Q9" s="7" t="s">
        <v>69</v>
      </c>
      <c r="R9" s="1" t="s">
        <v>70</v>
      </c>
      <c r="S9" s="1" t="n">
        <v>3</v>
      </c>
    </row>
    <row r="10" customFormat="false" ht="57.75" hidden="false" customHeight="true" outlineLevel="0" collapsed="false">
      <c r="A10" s="3" t="n">
        <v>9</v>
      </c>
      <c r="B10" s="4" t="s">
        <v>19</v>
      </c>
      <c r="C10" s="9" t="s">
        <v>64</v>
      </c>
      <c r="D10" s="4" t="s">
        <v>48</v>
      </c>
      <c r="E10" s="4" t="s">
        <v>71</v>
      </c>
      <c r="F10" s="4" t="s">
        <v>72</v>
      </c>
      <c r="G10" s="4" t="s">
        <v>24</v>
      </c>
      <c r="H10" s="6" t="s">
        <v>73</v>
      </c>
      <c r="I10" s="6" t="n">
        <v>5</v>
      </c>
      <c r="J10" s="6" t="n">
        <v>5</v>
      </c>
      <c r="K10" s="6" t="n">
        <v>5</v>
      </c>
      <c r="L10" s="6" t="n">
        <v>5</v>
      </c>
      <c r="M10" s="6" t="n">
        <v>1.44</v>
      </c>
      <c r="N10" s="6" t="s">
        <v>36</v>
      </c>
      <c r="O10" s="6" t="s">
        <v>27</v>
      </c>
      <c r="P10" s="6"/>
      <c r="Q10" s="7" t="s">
        <v>74</v>
      </c>
      <c r="R10" s="1" t="s">
        <v>75</v>
      </c>
      <c r="S10" s="1" t="n">
        <v>3</v>
      </c>
    </row>
    <row r="11" customFormat="false" ht="57.75" hidden="false" customHeight="true" outlineLevel="0" collapsed="false">
      <c r="A11" s="3" t="n">
        <v>10</v>
      </c>
      <c r="B11" s="4" t="s">
        <v>19</v>
      </c>
      <c r="C11" s="9" t="s">
        <v>64</v>
      </c>
      <c r="D11" s="4" t="s">
        <v>21</v>
      </c>
      <c r="E11" s="4" t="s">
        <v>76</v>
      </c>
      <c r="F11" s="4" t="s">
        <v>77</v>
      </c>
      <c r="G11" s="4" t="s">
        <v>24</v>
      </c>
      <c r="H11" s="6" t="s">
        <v>78</v>
      </c>
      <c r="I11" s="6" t="n">
        <v>5</v>
      </c>
      <c r="J11" s="6" t="n">
        <v>4</v>
      </c>
      <c r="K11" s="6" t="n">
        <v>5</v>
      </c>
      <c r="L11" s="6" t="n">
        <v>4</v>
      </c>
      <c r="M11" s="6" t="n">
        <v>26.14</v>
      </c>
      <c r="N11" s="6" t="s">
        <v>26</v>
      </c>
      <c r="O11" s="6" t="s">
        <v>27</v>
      </c>
      <c r="P11" s="6"/>
      <c r="Q11" s="7" t="s">
        <v>79</v>
      </c>
      <c r="R11" s="1" t="s">
        <v>80</v>
      </c>
      <c r="S11" s="1" t="n">
        <v>3</v>
      </c>
    </row>
    <row r="12" customFormat="false" ht="57.75" hidden="false" customHeight="true" outlineLevel="0" collapsed="false">
      <c r="A12" s="10" t="n">
        <v>11</v>
      </c>
      <c r="B12" s="11" t="s">
        <v>81</v>
      </c>
      <c r="C12" s="5" t="s">
        <v>20</v>
      </c>
      <c r="D12" s="11" t="s">
        <v>82</v>
      </c>
      <c r="E12" s="11" t="s">
        <v>83</v>
      </c>
      <c r="F12" s="11" t="s">
        <v>84</v>
      </c>
      <c r="G12" s="11" t="s">
        <v>24</v>
      </c>
      <c r="H12" s="6" t="s">
        <v>85</v>
      </c>
      <c r="I12" s="6" t="n">
        <v>5</v>
      </c>
      <c r="J12" s="6" t="n">
        <v>5</v>
      </c>
      <c r="K12" s="6" t="n">
        <v>5</v>
      </c>
      <c r="L12" s="6" t="n">
        <v>4</v>
      </c>
      <c r="M12" s="6" t="n">
        <v>29.93</v>
      </c>
      <c r="N12" s="6" t="s">
        <v>36</v>
      </c>
      <c r="O12" s="6" t="s">
        <v>27</v>
      </c>
      <c r="P12" s="6"/>
      <c r="Q12" s="7" t="s">
        <v>86</v>
      </c>
      <c r="R12" s="1" t="s">
        <v>87</v>
      </c>
      <c r="S12" s="1" t="n">
        <v>3</v>
      </c>
    </row>
    <row r="13" customFormat="false" ht="57.75" hidden="false" customHeight="true" outlineLevel="0" collapsed="false">
      <c r="A13" s="10" t="n">
        <v>12</v>
      </c>
      <c r="B13" s="11" t="s">
        <v>81</v>
      </c>
      <c r="C13" s="5" t="s">
        <v>20</v>
      </c>
      <c r="D13" s="11" t="s">
        <v>82</v>
      </c>
      <c r="E13" s="11" t="s">
        <v>88</v>
      </c>
      <c r="F13" s="11" t="s">
        <v>89</v>
      </c>
      <c r="G13" s="11" t="s">
        <v>24</v>
      </c>
      <c r="H13" s="6" t="s">
        <v>90</v>
      </c>
      <c r="I13" s="6" t="n">
        <v>4</v>
      </c>
      <c r="J13" s="6" t="n">
        <v>5</v>
      </c>
      <c r="K13" s="6" t="n">
        <v>5</v>
      </c>
      <c r="L13" s="6" t="n">
        <v>5</v>
      </c>
      <c r="M13" s="6" t="n">
        <v>23.86</v>
      </c>
      <c r="N13" s="6" t="s">
        <v>36</v>
      </c>
      <c r="O13" s="6" t="s">
        <v>91</v>
      </c>
      <c r="P13" s="6"/>
      <c r="Q13" s="7" t="s">
        <v>92</v>
      </c>
      <c r="R13" s="1" t="s">
        <v>93</v>
      </c>
      <c r="S13" s="1" t="n">
        <v>3</v>
      </c>
    </row>
    <row r="14" customFormat="false" ht="57.75" hidden="false" customHeight="true" outlineLevel="0" collapsed="false">
      <c r="A14" s="10" t="n">
        <v>13</v>
      </c>
      <c r="B14" s="11" t="s">
        <v>81</v>
      </c>
      <c r="C14" s="5" t="s">
        <v>20</v>
      </c>
      <c r="D14" s="11" t="s">
        <v>94</v>
      </c>
      <c r="E14" s="11" t="s">
        <v>95</v>
      </c>
      <c r="F14" s="11" t="s">
        <v>96</v>
      </c>
      <c r="G14" s="11" t="s">
        <v>24</v>
      </c>
      <c r="H14" s="6" t="s">
        <v>97</v>
      </c>
      <c r="I14" s="6" t="n">
        <v>5</v>
      </c>
      <c r="J14" s="6" t="n">
        <v>4</v>
      </c>
      <c r="K14" s="6" t="n">
        <v>5</v>
      </c>
      <c r="L14" s="6" t="n">
        <v>5</v>
      </c>
      <c r="M14" s="6" t="n">
        <v>18.14</v>
      </c>
      <c r="N14" s="6" t="s">
        <v>36</v>
      </c>
      <c r="O14" s="6" t="s">
        <v>27</v>
      </c>
      <c r="P14" s="6"/>
      <c r="Q14" s="7" t="s">
        <v>98</v>
      </c>
      <c r="R14" s="1" t="s">
        <v>99</v>
      </c>
      <c r="S14" s="1" t="n">
        <v>3</v>
      </c>
    </row>
    <row r="15" customFormat="false" ht="57.75" hidden="false" customHeight="true" outlineLevel="0" collapsed="false">
      <c r="A15" s="10" t="n">
        <v>14</v>
      </c>
      <c r="B15" s="11" t="s">
        <v>81</v>
      </c>
      <c r="C15" s="8" t="s">
        <v>36</v>
      </c>
      <c r="D15" s="11" t="s">
        <v>82</v>
      </c>
      <c r="E15" s="11" t="s">
        <v>100</v>
      </c>
      <c r="F15" s="11" t="s">
        <v>101</v>
      </c>
      <c r="G15" s="11" t="s">
        <v>24</v>
      </c>
      <c r="H15" s="6" t="s">
        <v>102</v>
      </c>
      <c r="I15" s="6" t="n">
        <v>5</v>
      </c>
      <c r="J15" s="6" t="n">
        <v>5</v>
      </c>
      <c r="K15" s="6" t="n">
        <v>5</v>
      </c>
      <c r="L15" s="6" t="n">
        <v>4</v>
      </c>
      <c r="M15" s="6" t="n">
        <v>27.09</v>
      </c>
      <c r="N15" s="6" t="s">
        <v>26</v>
      </c>
      <c r="O15" s="6" t="s">
        <v>27</v>
      </c>
      <c r="P15" s="6"/>
      <c r="Q15" s="7" t="s">
        <v>103</v>
      </c>
      <c r="R15" s="1" t="s">
        <v>104</v>
      </c>
      <c r="S15" s="1" t="n">
        <v>3</v>
      </c>
    </row>
    <row r="16" customFormat="false" ht="57.75" hidden="false" customHeight="true" outlineLevel="0" collapsed="false">
      <c r="A16" s="10" t="n">
        <v>15</v>
      </c>
      <c r="B16" s="11" t="s">
        <v>81</v>
      </c>
      <c r="C16" s="8" t="s">
        <v>36</v>
      </c>
      <c r="D16" s="11" t="s">
        <v>82</v>
      </c>
      <c r="E16" s="11" t="s">
        <v>105</v>
      </c>
      <c r="F16" s="11" t="s">
        <v>106</v>
      </c>
      <c r="G16" s="11" t="s">
        <v>24</v>
      </c>
      <c r="H16" s="6" t="s">
        <v>107</v>
      </c>
      <c r="I16" s="6" t="n">
        <v>5</v>
      </c>
      <c r="J16" s="6" t="n">
        <v>5</v>
      </c>
      <c r="K16" s="6" t="n">
        <v>5</v>
      </c>
      <c r="L16" s="6" t="n">
        <v>4</v>
      </c>
      <c r="M16" s="6" t="n">
        <v>8.34</v>
      </c>
      <c r="N16" s="6" t="s">
        <v>36</v>
      </c>
      <c r="O16" s="6" t="s">
        <v>27</v>
      </c>
      <c r="P16" s="6"/>
      <c r="Q16" s="7" t="s">
        <v>108</v>
      </c>
      <c r="R16" s="1" t="s">
        <v>109</v>
      </c>
      <c r="S16" s="1" t="n">
        <v>3</v>
      </c>
    </row>
    <row r="17" customFormat="false" ht="57.75" hidden="false" customHeight="true" outlineLevel="0" collapsed="false">
      <c r="A17" s="10" t="n">
        <v>16</v>
      </c>
      <c r="B17" s="11" t="s">
        <v>81</v>
      </c>
      <c r="C17" s="8" t="s">
        <v>36</v>
      </c>
      <c r="D17" s="11" t="s">
        <v>82</v>
      </c>
      <c r="E17" s="11" t="s">
        <v>110</v>
      </c>
      <c r="F17" s="11" t="s">
        <v>111</v>
      </c>
      <c r="G17" s="11" t="s">
        <v>24</v>
      </c>
      <c r="H17" s="6" t="s">
        <v>112</v>
      </c>
      <c r="I17" s="6" t="n">
        <v>5</v>
      </c>
      <c r="J17" s="6" t="n">
        <v>5</v>
      </c>
      <c r="K17" s="6" t="n">
        <v>5</v>
      </c>
      <c r="L17" s="6" t="n">
        <v>5</v>
      </c>
      <c r="M17" s="6" t="n">
        <v>30.37</v>
      </c>
      <c r="N17" s="6" t="s">
        <v>36</v>
      </c>
      <c r="O17" s="6" t="s">
        <v>27</v>
      </c>
      <c r="P17" s="6"/>
      <c r="Q17" s="7" t="s">
        <v>113</v>
      </c>
      <c r="R17" s="1" t="s">
        <v>114</v>
      </c>
      <c r="S17" s="1" t="n">
        <v>3</v>
      </c>
    </row>
    <row r="18" customFormat="false" ht="57.75" hidden="false" customHeight="true" outlineLevel="0" collapsed="false">
      <c r="A18" s="10" t="n">
        <v>17</v>
      </c>
      <c r="B18" s="11" t="s">
        <v>81</v>
      </c>
      <c r="C18" s="8" t="s">
        <v>36</v>
      </c>
      <c r="D18" s="11" t="s">
        <v>94</v>
      </c>
      <c r="E18" s="11" t="s">
        <v>115</v>
      </c>
      <c r="F18" s="11" t="s">
        <v>116</v>
      </c>
      <c r="G18" s="11" t="s">
        <v>24</v>
      </c>
      <c r="H18" s="6" t="s">
        <v>117</v>
      </c>
      <c r="I18" s="6" t="n">
        <v>5</v>
      </c>
      <c r="J18" s="6" t="n">
        <v>5</v>
      </c>
      <c r="K18" s="6" t="n">
        <v>5</v>
      </c>
      <c r="L18" s="6" t="n">
        <v>5</v>
      </c>
      <c r="M18" s="6" t="n">
        <v>20.92</v>
      </c>
      <c r="N18" s="6" t="s">
        <v>36</v>
      </c>
      <c r="O18" s="6" t="s">
        <v>27</v>
      </c>
      <c r="P18" s="6"/>
      <c r="Q18" s="7" t="s">
        <v>118</v>
      </c>
      <c r="R18" s="1" t="s">
        <v>119</v>
      </c>
      <c r="S18" s="1" t="n">
        <v>3</v>
      </c>
    </row>
    <row r="19" customFormat="false" ht="57.75" hidden="false" customHeight="true" outlineLevel="0" collapsed="false">
      <c r="A19" s="10" t="n">
        <v>18</v>
      </c>
      <c r="B19" s="11" t="s">
        <v>81</v>
      </c>
      <c r="C19" s="9" t="s">
        <v>64</v>
      </c>
      <c r="D19" s="11" t="s">
        <v>82</v>
      </c>
      <c r="E19" s="11" t="s">
        <v>120</v>
      </c>
      <c r="F19" s="11" t="s">
        <v>121</v>
      </c>
      <c r="G19" s="11" t="s">
        <v>24</v>
      </c>
      <c r="H19" s="6" t="s">
        <v>122</v>
      </c>
      <c r="I19" s="6" t="n">
        <v>1</v>
      </c>
      <c r="J19" s="6" t="n">
        <v>1</v>
      </c>
      <c r="K19" s="6" t="n">
        <v>1</v>
      </c>
      <c r="L19" s="6" t="n">
        <v>2</v>
      </c>
      <c r="M19" s="6" t="n">
        <v>29.99</v>
      </c>
      <c r="N19" s="6" t="s">
        <v>26</v>
      </c>
      <c r="O19" s="6" t="s">
        <v>91</v>
      </c>
      <c r="P19" s="6"/>
      <c r="Q19" s="7" t="s">
        <v>123</v>
      </c>
      <c r="R19" s="1" t="s">
        <v>124</v>
      </c>
      <c r="S19" s="1" t="n">
        <v>1</v>
      </c>
    </row>
    <row r="20" customFormat="false" ht="57.75" hidden="false" customHeight="true" outlineLevel="0" collapsed="false">
      <c r="A20" s="10" t="n">
        <v>19</v>
      </c>
      <c r="B20" s="11" t="s">
        <v>81</v>
      </c>
      <c r="C20" s="9" t="s">
        <v>64</v>
      </c>
      <c r="D20" s="11" t="s">
        <v>94</v>
      </c>
      <c r="E20" s="11" t="s">
        <v>125</v>
      </c>
      <c r="F20" s="11" t="s">
        <v>126</v>
      </c>
      <c r="G20" s="11" t="s">
        <v>24</v>
      </c>
      <c r="H20" s="6" t="s">
        <v>127</v>
      </c>
      <c r="I20" s="6" t="n">
        <v>5</v>
      </c>
      <c r="J20" s="6" t="n">
        <v>5</v>
      </c>
      <c r="K20" s="6" t="n">
        <v>5</v>
      </c>
      <c r="L20" s="6" t="n">
        <v>5</v>
      </c>
      <c r="M20" s="6" t="n">
        <v>22.15</v>
      </c>
      <c r="N20" s="6" t="s">
        <v>128</v>
      </c>
      <c r="O20" s="6" t="s">
        <v>27</v>
      </c>
      <c r="P20" s="6"/>
      <c r="Q20" s="7" t="s">
        <v>129</v>
      </c>
      <c r="R20" s="1" t="s">
        <v>130</v>
      </c>
      <c r="S20" s="1" t="n">
        <v>3</v>
      </c>
    </row>
    <row r="21" customFormat="false" ht="57.75" hidden="false" customHeight="true" outlineLevel="0" collapsed="false">
      <c r="A21" s="10" t="n">
        <v>20</v>
      </c>
      <c r="B21" s="11" t="s">
        <v>81</v>
      </c>
      <c r="C21" s="9" t="s">
        <v>64</v>
      </c>
      <c r="D21" s="11" t="s">
        <v>82</v>
      </c>
      <c r="E21" s="11" t="s">
        <v>131</v>
      </c>
      <c r="F21" s="11" t="s">
        <v>132</v>
      </c>
      <c r="G21" s="11" t="s">
        <v>24</v>
      </c>
      <c r="H21" s="6" t="s">
        <v>133</v>
      </c>
      <c r="I21" s="6" t="n">
        <v>1</v>
      </c>
      <c r="J21" s="6" t="n">
        <v>1</v>
      </c>
      <c r="K21" s="6" t="n">
        <v>1</v>
      </c>
      <c r="L21" s="6" t="n">
        <v>3</v>
      </c>
      <c r="M21" s="6" t="n">
        <v>21.99</v>
      </c>
      <c r="N21" s="6" t="s">
        <v>26</v>
      </c>
      <c r="O21" s="6" t="s">
        <v>27</v>
      </c>
      <c r="P21" s="6"/>
      <c r="Q21" s="7" t="s">
        <v>134</v>
      </c>
      <c r="R21" s="1" t="s">
        <v>135</v>
      </c>
      <c r="S21" s="1" t="n">
        <v>1</v>
      </c>
    </row>
    <row r="22" customFormat="false" ht="57.75" hidden="false" customHeight="true" outlineLevel="0" collapsed="false">
      <c r="A22" s="12" t="n">
        <v>21</v>
      </c>
      <c r="B22" s="13" t="s">
        <v>136</v>
      </c>
      <c r="C22" s="5" t="s">
        <v>20</v>
      </c>
      <c r="D22" s="13" t="s">
        <v>137</v>
      </c>
      <c r="E22" s="13" t="s">
        <v>138</v>
      </c>
      <c r="F22" s="13" t="s">
        <v>139</v>
      </c>
      <c r="G22" s="13" t="s">
        <v>24</v>
      </c>
      <c r="H22" s="6" t="s">
        <v>140</v>
      </c>
      <c r="I22" s="6" t="n">
        <v>5</v>
      </c>
      <c r="J22" s="6" t="n">
        <v>5</v>
      </c>
      <c r="K22" s="6" t="n">
        <v>5</v>
      </c>
      <c r="L22" s="6" t="n">
        <v>4</v>
      </c>
      <c r="M22" s="6" t="n">
        <v>23.96</v>
      </c>
      <c r="N22" s="6" t="s">
        <v>36</v>
      </c>
      <c r="O22" s="6" t="s">
        <v>27</v>
      </c>
      <c r="P22" s="6"/>
      <c r="Q22" s="7" t="s">
        <v>141</v>
      </c>
      <c r="R22" s="1" t="s">
        <v>142</v>
      </c>
      <c r="S22" s="1" t="n">
        <v>3</v>
      </c>
    </row>
    <row r="23" customFormat="false" ht="57.75" hidden="false" customHeight="true" outlineLevel="0" collapsed="false">
      <c r="A23" s="12" t="n">
        <v>22</v>
      </c>
      <c r="B23" s="13" t="s">
        <v>136</v>
      </c>
      <c r="C23" s="5" t="s">
        <v>20</v>
      </c>
      <c r="D23" s="13" t="s">
        <v>143</v>
      </c>
      <c r="E23" s="13" t="s">
        <v>144</v>
      </c>
      <c r="F23" s="13" t="s">
        <v>145</v>
      </c>
      <c r="G23" s="13" t="s">
        <v>146</v>
      </c>
      <c r="H23" s="6" t="s">
        <v>147</v>
      </c>
      <c r="I23" s="6" t="n">
        <v>5</v>
      </c>
      <c r="J23" s="6" t="n">
        <v>5</v>
      </c>
      <c r="K23" s="6" t="n">
        <v>5</v>
      </c>
      <c r="L23" s="6" t="n">
        <v>5</v>
      </c>
      <c r="M23" s="6" t="n">
        <v>26.89</v>
      </c>
      <c r="N23" s="6" t="s">
        <v>36</v>
      </c>
      <c r="O23" s="6" t="s">
        <v>91</v>
      </c>
      <c r="P23" s="6"/>
      <c r="Q23" s="7" t="s">
        <v>148</v>
      </c>
      <c r="R23" s="1" t="s">
        <v>149</v>
      </c>
      <c r="S23" s="1" t="n">
        <v>3</v>
      </c>
    </row>
    <row r="24" customFormat="false" ht="57.75" hidden="false" customHeight="true" outlineLevel="0" collapsed="false">
      <c r="A24" s="12" t="n">
        <v>23</v>
      </c>
      <c r="B24" s="13" t="s">
        <v>136</v>
      </c>
      <c r="C24" s="8" t="s">
        <v>36</v>
      </c>
      <c r="D24" s="13" t="s">
        <v>143</v>
      </c>
      <c r="E24" s="13" t="s">
        <v>150</v>
      </c>
      <c r="F24" s="13" t="s">
        <v>151</v>
      </c>
      <c r="G24" s="13" t="s">
        <v>146</v>
      </c>
      <c r="H24" s="6" t="s">
        <v>152</v>
      </c>
      <c r="I24" s="6" t="n">
        <v>5</v>
      </c>
      <c r="J24" s="6" t="n">
        <v>4</v>
      </c>
      <c r="K24" s="6" t="n">
        <v>5</v>
      </c>
      <c r="L24" s="6" t="n">
        <v>5</v>
      </c>
      <c r="M24" s="6" t="n">
        <v>26.83</v>
      </c>
      <c r="N24" s="6" t="s">
        <v>36</v>
      </c>
      <c r="O24" s="6" t="s">
        <v>91</v>
      </c>
      <c r="P24" s="6"/>
      <c r="Q24" s="7" t="s">
        <v>153</v>
      </c>
      <c r="R24" s="1" t="s">
        <v>154</v>
      </c>
      <c r="S24" s="1" t="n">
        <v>3</v>
      </c>
    </row>
    <row r="25" customFormat="false" ht="57.75" hidden="false" customHeight="true" outlineLevel="0" collapsed="false">
      <c r="A25" s="12" t="n">
        <v>24</v>
      </c>
      <c r="B25" s="13" t="s">
        <v>136</v>
      </c>
      <c r="C25" s="8" t="s">
        <v>36</v>
      </c>
      <c r="D25" s="13" t="s">
        <v>155</v>
      </c>
      <c r="E25" s="13" t="s">
        <v>156</v>
      </c>
      <c r="F25" s="13" t="s">
        <v>157</v>
      </c>
      <c r="G25" s="13" t="s">
        <v>24</v>
      </c>
      <c r="H25" s="6" t="s">
        <v>158</v>
      </c>
      <c r="I25" s="6" t="n">
        <v>5</v>
      </c>
      <c r="J25" s="6" t="n">
        <v>5</v>
      </c>
      <c r="K25" s="6" t="n">
        <v>5</v>
      </c>
      <c r="L25" s="6" t="n">
        <v>3</v>
      </c>
      <c r="M25" s="6" t="n">
        <v>28.13</v>
      </c>
      <c r="N25" s="6" t="s">
        <v>36</v>
      </c>
      <c r="O25" s="6" t="s">
        <v>91</v>
      </c>
      <c r="P25" s="6"/>
      <c r="Q25" s="7" t="s">
        <v>159</v>
      </c>
      <c r="R25" s="1" t="s">
        <v>160</v>
      </c>
      <c r="S25" s="1" t="n">
        <v>3</v>
      </c>
    </row>
    <row r="26" customFormat="false" ht="57.75" hidden="false" customHeight="true" outlineLevel="0" collapsed="false">
      <c r="A26" s="12" t="n">
        <v>25</v>
      </c>
      <c r="B26" s="13" t="s">
        <v>136</v>
      </c>
      <c r="C26" s="8" t="s">
        <v>36</v>
      </c>
      <c r="D26" s="13" t="s">
        <v>161</v>
      </c>
      <c r="E26" s="13" t="s">
        <v>162</v>
      </c>
      <c r="F26" s="13" t="s">
        <v>163</v>
      </c>
      <c r="G26" s="13" t="s">
        <v>24</v>
      </c>
      <c r="H26" s="6" t="s">
        <v>164</v>
      </c>
      <c r="I26" s="6" t="n">
        <v>4</v>
      </c>
      <c r="J26" s="6" t="n">
        <v>4</v>
      </c>
      <c r="K26" s="6" t="n">
        <v>4</v>
      </c>
      <c r="L26" s="6" t="n">
        <v>4</v>
      </c>
      <c r="M26" s="6" t="n">
        <v>24.51</v>
      </c>
      <c r="N26" s="6" t="s">
        <v>36</v>
      </c>
      <c r="O26" s="6" t="s">
        <v>91</v>
      </c>
      <c r="P26" s="6"/>
      <c r="Q26" s="7" t="s">
        <v>165</v>
      </c>
      <c r="R26" s="1" t="s">
        <v>166</v>
      </c>
      <c r="S26" s="1" t="n">
        <v>3</v>
      </c>
    </row>
    <row r="27" customFormat="false" ht="57.75" hidden="false" customHeight="true" outlineLevel="0" collapsed="false">
      <c r="A27" s="12" t="n">
        <v>26</v>
      </c>
      <c r="B27" s="13" t="s">
        <v>136</v>
      </c>
      <c r="C27" s="8" t="s">
        <v>36</v>
      </c>
      <c r="D27" s="13" t="s">
        <v>167</v>
      </c>
      <c r="E27" s="13" t="s">
        <v>168</v>
      </c>
      <c r="F27" s="13" t="s">
        <v>169</v>
      </c>
      <c r="G27" s="13" t="s">
        <v>24</v>
      </c>
      <c r="H27" s="6" t="s">
        <v>170</v>
      </c>
      <c r="I27" s="6" t="n">
        <v>5</v>
      </c>
      <c r="J27" s="6" t="n">
        <v>5</v>
      </c>
      <c r="K27" s="6" t="n">
        <v>5</v>
      </c>
      <c r="L27" s="6" t="n">
        <v>3</v>
      </c>
      <c r="M27" s="6" t="n">
        <v>31.31</v>
      </c>
      <c r="N27" s="6" t="s">
        <v>36</v>
      </c>
      <c r="O27" s="6" t="s">
        <v>27</v>
      </c>
      <c r="P27" s="6"/>
      <c r="Q27" s="7" t="s">
        <v>171</v>
      </c>
      <c r="R27" s="1" t="s">
        <v>172</v>
      </c>
      <c r="S27" s="1" t="n">
        <v>3</v>
      </c>
    </row>
    <row r="28" customFormat="false" ht="57.75" hidden="false" customHeight="true" outlineLevel="0" collapsed="false">
      <c r="A28" s="12" t="n">
        <v>27</v>
      </c>
      <c r="B28" s="13" t="s">
        <v>136</v>
      </c>
      <c r="C28" s="9" t="s">
        <v>64</v>
      </c>
      <c r="D28" s="13" t="s">
        <v>143</v>
      </c>
      <c r="E28" s="13" t="s">
        <v>173</v>
      </c>
      <c r="F28" s="13" t="s">
        <v>174</v>
      </c>
      <c r="G28" s="13" t="s">
        <v>146</v>
      </c>
      <c r="H28" s="6" t="s">
        <v>175</v>
      </c>
      <c r="I28" s="6" t="n">
        <v>5</v>
      </c>
      <c r="J28" s="6" t="n">
        <v>5</v>
      </c>
      <c r="K28" s="6" t="n">
        <v>5</v>
      </c>
      <c r="L28" s="6" t="n">
        <v>5</v>
      </c>
      <c r="M28" s="6" t="n">
        <v>34.39</v>
      </c>
      <c r="N28" s="6" t="s">
        <v>36</v>
      </c>
      <c r="O28" s="6" t="s">
        <v>91</v>
      </c>
      <c r="P28" s="6"/>
      <c r="Q28" s="7" t="s">
        <v>176</v>
      </c>
      <c r="R28" s="1" t="s">
        <v>177</v>
      </c>
      <c r="S28" s="1" t="n">
        <v>3</v>
      </c>
    </row>
    <row r="29" customFormat="false" ht="57.75" hidden="false" customHeight="true" outlineLevel="0" collapsed="false">
      <c r="A29" s="12" t="n">
        <v>28</v>
      </c>
      <c r="B29" s="13" t="s">
        <v>136</v>
      </c>
      <c r="C29" s="9" t="s">
        <v>64</v>
      </c>
      <c r="D29" s="13" t="s">
        <v>155</v>
      </c>
      <c r="E29" s="13" t="s">
        <v>178</v>
      </c>
      <c r="F29" s="13" t="s">
        <v>179</v>
      </c>
      <c r="G29" s="13" t="s">
        <v>180</v>
      </c>
      <c r="H29" s="6" t="s">
        <v>181</v>
      </c>
      <c r="I29" s="6" t="n">
        <v>4</v>
      </c>
      <c r="J29" s="6" t="n">
        <v>4</v>
      </c>
      <c r="K29" s="6" t="n">
        <v>5</v>
      </c>
      <c r="L29" s="6" t="n">
        <v>5</v>
      </c>
      <c r="M29" s="6" t="n">
        <v>23.12</v>
      </c>
      <c r="N29" s="6" t="s">
        <v>36</v>
      </c>
      <c r="O29" s="6" t="s">
        <v>91</v>
      </c>
      <c r="P29" s="6"/>
      <c r="Q29" s="7" t="s">
        <v>182</v>
      </c>
      <c r="R29" s="1" t="s">
        <v>183</v>
      </c>
      <c r="S29" s="1" t="n">
        <v>3</v>
      </c>
    </row>
    <row r="30" customFormat="false" ht="57.75" hidden="false" customHeight="true" outlineLevel="0" collapsed="false">
      <c r="A30" s="12" t="n">
        <v>29</v>
      </c>
      <c r="B30" s="13" t="s">
        <v>136</v>
      </c>
      <c r="C30" s="9" t="s">
        <v>64</v>
      </c>
      <c r="D30" s="13" t="s">
        <v>155</v>
      </c>
      <c r="E30" s="13" t="s">
        <v>184</v>
      </c>
      <c r="F30" s="13" t="s">
        <v>185</v>
      </c>
      <c r="G30" s="13" t="s">
        <v>180</v>
      </c>
      <c r="H30" s="6" t="s">
        <v>186</v>
      </c>
      <c r="I30" s="6" t="n">
        <v>5</v>
      </c>
      <c r="J30" s="6" t="n">
        <v>3</v>
      </c>
      <c r="K30" s="6" t="n">
        <v>5</v>
      </c>
      <c r="L30" s="6" t="n">
        <v>3</v>
      </c>
      <c r="M30" s="6" t="n">
        <v>22.94</v>
      </c>
      <c r="N30" s="6" t="s">
        <v>36</v>
      </c>
      <c r="O30" s="6" t="s">
        <v>91</v>
      </c>
      <c r="P30" s="6"/>
      <c r="Q30" s="7" t="s">
        <v>187</v>
      </c>
      <c r="R30" s="1" t="s">
        <v>188</v>
      </c>
      <c r="S30" s="1" t="n">
        <v>3</v>
      </c>
    </row>
    <row r="31" customFormat="false" ht="57.75" hidden="false" customHeight="true" outlineLevel="0" collapsed="false">
      <c r="A31" s="12" t="n">
        <v>30</v>
      </c>
      <c r="B31" s="13" t="s">
        <v>136</v>
      </c>
      <c r="C31" s="9" t="s">
        <v>64</v>
      </c>
      <c r="D31" s="13" t="s">
        <v>143</v>
      </c>
      <c r="E31" s="13" t="s">
        <v>189</v>
      </c>
      <c r="F31" s="13" t="s">
        <v>190</v>
      </c>
      <c r="G31" s="13" t="s">
        <v>146</v>
      </c>
      <c r="H31" s="6" t="s">
        <v>191</v>
      </c>
      <c r="I31" s="6" t="n">
        <v>5</v>
      </c>
      <c r="J31" s="6" t="n">
        <v>4</v>
      </c>
      <c r="K31" s="6" t="n">
        <v>5</v>
      </c>
      <c r="L31" s="6" t="n">
        <v>4</v>
      </c>
      <c r="M31" s="6" t="n">
        <v>1.98</v>
      </c>
      <c r="N31" s="6" t="s">
        <v>26</v>
      </c>
      <c r="O31" s="6" t="s">
        <v>91</v>
      </c>
      <c r="P31" s="6"/>
      <c r="Q31" s="7" t="s">
        <v>192</v>
      </c>
      <c r="R31" s="1" t="s">
        <v>193</v>
      </c>
      <c r="S31" s="1" t="n">
        <v>3</v>
      </c>
    </row>
    <row r="32" customFormat="false" ht="57.75" hidden="false" customHeight="true" outlineLevel="0" collapsed="false">
      <c r="A32" s="14" t="n">
        <v>31</v>
      </c>
      <c r="B32" s="15" t="s">
        <v>194</v>
      </c>
      <c r="C32" s="5" t="s">
        <v>20</v>
      </c>
      <c r="D32" s="15" t="s">
        <v>195</v>
      </c>
      <c r="E32" s="15" t="s">
        <v>196</v>
      </c>
      <c r="F32" s="15" t="s">
        <v>197</v>
      </c>
      <c r="G32" s="15" t="s">
        <v>24</v>
      </c>
      <c r="H32" s="6" t="s">
        <v>198</v>
      </c>
      <c r="I32" s="6" t="n">
        <v>4</v>
      </c>
      <c r="J32" s="6" t="n">
        <v>5</v>
      </c>
      <c r="K32" s="6" t="n">
        <v>5</v>
      </c>
      <c r="L32" s="6" t="n">
        <v>4</v>
      </c>
      <c r="M32" s="6" t="n">
        <v>24.08</v>
      </c>
      <c r="N32" s="6" t="s">
        <v>26</v>
      </c>
      <c r="O32" s="6" t="s">
        <v>91</v>
      </c>
      <c r="P32" s="6"/>
      <c r="Q32" s="7" t="s">
        <v>199</v>
      </c>
      <c r="R32" s="1" t="s">
        <v>200</v>
      </c>
      <c r="S32" s="1" t="n">
        <v>3</v>
      </c>
    </row>
    <row r="33" customFormat="false" ht="57.75" hidden="false" customHeight="true" outlineLevel="0" collapsed="false">
      <c r="A33" s="14" t="n">
        <v>32</v>
      </c>
      <c r="B33" s="15" t="s">
        <v>194</v>
      </c>
      <c r="C33" s="5" t="s">
        <v>20</v>
      </c>
      <c r="D33" s="15" t="s">
        <v>201</v>
      </c>
      <c r="E33" s="15" t="s">
        <v>202</v>
      </c>
      <c r="F33" s="15" t="s">
        <v>203</v>
      </c>
      <c r="G33" s="15" t="s">
        <v>24</v>
      </c>
      <c r="H33" s="6" t="s">
        <v>204</v>
      </c>
      <c r="I33" s="6" t="n">
        <v>5</v>
      </c>
      <c r="J33" s="6" t="n">
        <v>5</v>
      </c>
      <c r="K33" s="6" t="n">
        <v>5</v>
      </c>
      <c r="L33" s="6" t="n">
        <v>4</v>
      </c>
      <c r="M33" s="6" t="n">
        <v>22.14</v>
      </c>
      <c r="N33" s="6" t="s">
        <v>36</v>
      </c>
      <c r="O33" s="6" t="s">
        <v>91</v>
      </c>
      <c r="P33" s="6"/>
      <c r="Q33" s="7" t="s">
        <v>205</v>
      </c>
      <c r="R33" s="1" t="s">
        <v>206</v>
      </c>
      <c r="S33" s="1" t="n">
        <v>3</v>
      </c>
    </row>
    <row r="34" customFormat="false" ht="57.75" hidden="false" customHeight="true" outlineLevel="0" collapsed="false">
      <c r="A34" s="14" t="n">
        <v>33</v>
      </c>
      <c r="B34" s="15" t="s">
        <v>194</v>
      </c>
      <c r="C34" s="8" t="s">
        <v>36</v>
      </c>
      <c r="D34" s="15" t="s">
        <v>195</v>
      </c>
      <c r="E34" s="15" t="s">
        <v>207</v>
      </c>
      <c r="F34" s="15" t="s">
        <v>208</v>
      </c>
      <c r="G34" s="15" t="s">
        <v>24</v>
      </c>
      <c r="H34" s="6" t="s">
        <v>209</v>
      </c>
      <c r="I34" s="6" t="n">
        <v>5</v>
      </c>
      <c r="J34" s="6" t="n">
        <v>4</v>
      </c>
      <c r="K34" s="6" t="n">
        <v>4</v>
      </c>
      <c r="L34" s="6" t="n">
        <v>4</v>
      </c>
      <c r="M34" s="6" t="n">
        <v>27.32</v>
      </c>
      <c r="N34" s="6" t="s">
        <v>26</v>
      </c>
      <c r="O34" s="6" t="s">
        <v>91</v>
      </c>
      <c r="P34" s="6"/>
      <c r="Q34" s="7" t="s">
        <v>210</v>
      </c>
      <c r="R34" s="1" t="s">
        <v>211</v>
      </c>
      <c r="S34" s="1" t="n">
        <v>3</v>
      </c>
    </row>
    <row r="35" customFormat="false" ht="57.75" hidden="false" customHeight="true" outlineLevel="0" collapsed="false">
      <c r="A35" s="14" t="n">
        <v>34</v>
      </c>
      <c r="B35" s="15" t="s">
        <v>194</v>
      </c>
      <c r="C35" s="8" t="s">
        <v>36</v>
      </c>
      <c r="D35" s="15" t="s">
        <v>212</v>
      </c>
      <c r="E35" s="15" t="s">
        <v>213</v>
      </c>
      <c r="F35" s="15" t="s">
        <v>214</v>
      </c>
      <c r="G35" s="15" t="s">
        <v>24</v>
      </c>
      <c r="H35" s="6" t="s">
        <v>215</v>
      </c>
      <c r="I35" s="6" t="n">
        <v>5</v>
      </c>
      <c r="J35" s="6" t="n">
        <v>3</v>
      </c>
      <c r="K35" s="6" t="n">
        <v>5</v>
      </c>
      <c r="L35" s="6" t="n">
        <v>3</v>
      </c>
      <c r="M35" s="6" t="n">
        <v>23.05</v>
      </c>
      <c r="N35" s="6" t="s">
        <v>26</v>
      </c>
      <c r="O35" s="6" t="s">
        <v>27</v>
      </c>
      <c r="P35" s="6"/>
      <c r="Q35" s="7" t="s">
        <v>216</v>
      </c>
      <c r="R35" s="1" t="s">
        <v>217</v>
      </c>
      <c r="S35" s="1" t="n">
        <v>2</v>
      </c>
    </row>
    <row r="36" customFormat="false" ht="57.75" hidden="false" customHeight="true" outlineLevel="0" collapsed="false">
      <c r="A36" s="14" t="n">
        <v>35</v>
      </c>
      <c r="B36" s="15" t="s">
        <v>194</v>
      </c>
      <c r="C36" s="8" t="s">
        <v>36</v>
      </c>
      <c r="D36" s="15" t="s">
        <v>218</v>
      </c>
      <c r="E36" s="15" t="s">
        <v>219</v>
      </c>
      <c r="F36" s="15" t="s">
        <v>220</v>
      </c>
      <c r="G36" s="15" t="s">
        <v>24</v>
      </c>
      <c r="H36" s="6" t="s">
        <v>221</v>
      </c>
      <c r="I36" s="6" t="n">
        <v>1</v>
      </c>
      <c r="J36" s="6" t="n">
        <v>1</v>
      </c>
      <c r="K36" s="6" t="n">
        <v>1</v>
      </c>
      <c r="L36" s="6" t="n">
        <v>4</v>
      </c>
      <c r="M36" s="6" t="n">
        <v>22.96</v>
      </c>
      <c r="N36" s="6" t="s">
        <v>26</v>
      </c>
      <c r="O36" s="6" t="s">
        <v>27</v>
      </c>
      <c r="P36" s="6" t="s">
        <v>222</v>
      </c>
      <c r="Q36" s="7" t="s">
        <v>223</v>
      </c>
      <c r="R36" s="1" t="s">
        <v>142</v>
      </c>
      <c r="S36" s="1" t="n">
        <v>1</v>
      </c>
    </row>
    <row r="37" customFormat="false" ht="57.75" hidden="false" customHeight="true" outlineLevel="0" collapsed="false">
      <c r="A37" s="14" t="n">
        <v>36</v>
      </c>
      <c r="B37" s="15" t="s">
        <v>194</v>
      </c>
      <c r="C37" s="8" t="s">
        <v>36</v>
      </c>
      <c r="D37" s="15" t="s">
        <v>195</v>
      </c>
      <c r="E37" s="15" t="s">
        <v>224</v>
      </c>
      <c r="F37" s="15" t="s">
        <v>225</v>
      </c>
      <c r="G37" s="15" t="s">
        <v>24</v>
      </c>
      <c r="H37" s="6" t="s">
        <v>226</v>
      </c>
      <c r="I37" s="6" t="n">
        <v>3</v>
      </c>
      <c r="J37" s="6" t="n">
        <v>2</v>
      </c>
      <c r="K37" s="6" t="n">
        <v>4</v>
      </c>
      <c r="L37" s="6" t="n">
        <v>3</v>
      </c>
      <c r="M37" s="6" t="n">
        <v>12.94</v>
      </c>
      <c r="N37" s="6" t="s">
        <v>36</v>
      </c>
      <c r="O37" s="6" t="s">
        <v>27</v>
      </c>
      <c r="P37" s="6"/>
      <c r="Q37" s="7" t="s">
        <v>227</v>
      </c>
      <c r="R37" s="1" t="s">
        <v>41</v>
      </c>
      <c r="S37" s="1" t="n">
        <v>2</v>
      </c>
    </row>
    <row r="38" customFormat="false" ht="57.75" hidden="false" customHeight="true" outlineLevel="0" collapsed="false">
      <c r="A38" s="14" t="n">
        <v>37</v>
      </c>
      <c r="B38" s="15" t="s">
        <v>194</v>
      </c>
      <c r="C38" s="9" t="s">
        <v>64</v>
      </c>
      <c r="D38" s="15" t="s">
        <v>195</v>
      </c>
      <c r="E38" s="15" t="s">
        <v>228</v>
      </c>
      <c r="F38" s="15" t="s">
        <v>229</v>
      </c>
      <c r="G38" s="15" t="s">
        <v>180</v>
      </c>
      <c r="H38" s="6" t="s">
        <v>230</v>
      </c>
      <c r="I38" s="6" t="n">
        <v>5</v>
      </c>
      <c r="J38" s="6" t="n">
        <v>4</v>
      </c>
      <c r="K38" s="6" t="n">
        <v>5</v>
      </c>
      <c r="L38" s="6" t="n">
        <v>4</v>
      </c>
      <c r="M38" s="6" t="n">
        <v>20.96</v>
      </c>
      <c r="N38" s="6" t="s">
        <v>128</v>
      </c>
      <c r="O38" s="6" t="s">
        <v>27</v>
      </c>
      <c r="P38" s="6"/>
      <c r="Q38" s="7" t="s">
        <v>231</v>
      </c>
      <c r="R38" s="1" t="s">
        <v>232</v>
      </c>
      <c r="S38" s="1" t="n">
        <v>3</v>
      </c>
    </row>
    <row r="39" customFormat="false" ht="57.75" hidden="false" customHeight="true" outlineLevel="0" collapsed="false">
      <c r="A39" s="14" t="n">
        <v>38</v>
      </c>
      <c r="B39" s="15" t="s">
        <v>194</v>
      </c>
      <c r="C39" s="9" t="s">
        <v>64</v>
      </c>
      <c r="D39" s="15" t="s">
        <v>201</v>
      </c>
      <c r="E39" s="15" t="s">
        <v>233</v>
      </c>
      <c r="F39" s="15" t="s">
        <v>234</v>
      </c>
      <c r="G39" s="15" t="s">
        <v>146</v>
      </c>
      <c r="H39" s="6" t="s">
        <v>235</v>
      </c>
      <c r="I39" s="6" t="n">
        <v>4</v>
      </c>
      <c r="J39" s="6" t="n">
        <v>4</v>
      </c>
      <c r="K39" s="6" t="n">
        <v>5</v>
      </c>
      <c r="L39" s="6" t="n">
        <v>5</v>
      </c>
      <c r="M39" s="6" t="n">
        <v>448.23</v>
      </c>
      <c r="N39" s="6" t="s">
        <v>36</v>
      </c>
      <c r="O39" s="6" t="s">
        <v>91</v>
      </c>
      <c r="P39" s="6"/>
      <c r="Q39" s="7" t="s">
        <v>236</v>
      </c>
      <c r="R39" s="1" t="s">
        <v>237</v>
      </c>
      <c r="S39" s="1" t="n">
        <v>3</v>
      </c>
    </row>
    <row r="40" customFormat="false" ht="57.75" hidden="false" customHeight="true" outlineLevel="0" collapsed="false">
      <c r="A40" s="14" t="n">
        <v>39</v>
      </c>
      <c r="B40" s="15" t="s">
        <v>194</v>
      </c>
      <c r="C40" s="9" t="s">
        <v>64</v>
      </c>
      <c r="D40" s="15" t="s">
        <v>238</v>
      </c>
      <c r="E40" s="15" t="s">
        <v>239</v>
      </c>
      <c r="F40" s="15" t="s">
        <v>240</v>
      </c>
      <c r="G40" s="15" t="s">
        <v>24</v>
      </c>
      <c r="H40" s="6" t="s">
        <v>241</v>
      </c>
      <c r="I40" s="6" t="n">
        <v>4</v>
      </c>
      <c r="J40" s="6" t="n">
        <v>3</v>
      </c>
      <c r="K40" s="6" t="n">
        <v>5</v>
      </c>
      <c r="L40" s="6" t="n">
        <v>4</v>
      </c>
      <c r="M40" s="6" t="n">
        <v>26.66</v>
      </c>
      <c r="N40" s="6" t="s">
        <v>36</v>
      </c>
      <c r="O40" s="6" t="s">
        <v>91</v>
      </c>
      <c r="P40" s="6"/>
      <c r="Q40" s="7" t="s">
        <v>242</v>
      </c>
      <c r="R40" s="1" t="s">
        <v>119</v>
      </c>
      <c r="S40" s="1" t="n">
        <v>2</v>
      </c>
    </row>
    <row r="41" customFormat="false" ht="57.75" hidden="false" customHeight="true" outlineLevel="0" collapsed="false">
      <c r="A41" s="14" t="n">
        <v>40</v>
      </c>
      <c r="B41" s="15" t="s">
        <v>194</v>
      </c>
      <c r="C41" s="9" t="s">
        <v>64</v>
      </c>
      <c r="D41" s="15" t="s">
        <v>212</v>
      </c>
      <c r="E41" s="15" t="s">
        <v>243</v>
      </c>
      <c r="F41" s="15" t="s">
        <v>244</v>
      </c>
      <c r="G41" s="15" t="s">
        <v>24</v>
      </c>
      <c r="H41" s="6" t="s">
        <v>245</v>
      </c>
      <c r="I41" s="6" t="n">
        <v>5</v>
      </c>
      <c r="J41" s="6" t="n">
        <v>2</v>
      </c>
      <c r="K41" s="6" t="n">
        <v>4</v>
      </c>
      <c r="L41" s="6" t="n">
        <v>3</v>
      </c>
      <c r="M41" s="6" t="n">
        <v>22.18</v>
      </c>
      <c r="N41" s="6" t="s">
        <v>26</v>
      </c>
      <c r="O41" s="6" t="s">
        <v>27</v>
      </c>
      <c r="P41" s="6"/>
      <c r="Q41" s="7" t="s">
        <v>246</v>
      </c>
      <c r="R41" s="1" t="s">
        <v>247</v>
      </c>
      <c r="S41" s="1" t="n">
        <v>3</v>
      </c>
    </row>
    <row r="42" customFormat="false" ht="57.75" hidden="false" customHeight="true" outlineLevel="0" collapsed="false">
      <c r="A42" s="16" t="n">
        <v>41</v>
      </c>
      <c r="B42" s="17" t="s">
        <v>248</v>
      </c>
      <c r="C42" s="5" t="s">
        <v>20</v>
      </c>
      <c r="D42" s="17" t="s">
        <v>249</v>
      </c>
      <c r="E42" s="17" t="s">
        <v>250</v>
      </c>
      <c r="F42" s="17" t="s">
        <v>251</v>
      </c>
      <c r="G42" s="17" t="s">
        <v>24</v>
      </c>
      <c r="H42" s="6" t="s">
        <v>252</v>
      </c>
      <c r="I42" s="6" t="n">
        <v>5</v>
      </c>
      <c r="J42" s="6" t="n">
        <v>5</v>
      </c>
      <c r="K42" s="6" t="n">
        <v>5</v>
      </c>
      <c r="L42" s="6" t="n">
        <v>5</v>
      </c>
      <c r="M42" s="6" t="n">
        <v>23.99</v>
      </c>
      <c r="N42" s="6" t="s">
        <v>128</v>
      </c>
      <c r="O42" s="6" t="s">
        <v>27</v>
      </c>
      <c r="P42" s="6"/>
      <c r="Q42" s="7" t="s">
        <v>253</v>
      </c>
      <c r="R42" s="1" t="s">
        <v>254</v>
      </c>
      <c r="S42" s="1" t="n">
        <v>3</v>
      </c>
    </row>
    <row r="43" customFormat="false" ht="57.75" hidden="false" customHeight="true" outlineLevel="0" collapsed="false">
      <c r="A43" s="16" t="n">
        <v>42</v>
      </c>
      <c r="B43" s="17" t="s">
        <v>248</v>
      </c>
      <c r="C43" s="5" t="s">
        <v>20</v>
      </c>
      <c r="D43" s="17" t="s">
        <v>255</v>
      </c>
      <c r="E43" s="17" t="s">
        <v>256</v>
      </c>
      <c r="F43" s="17" t="s">
        <v>257</v>
      </c>
      <c r="G43" s="17" t="s">
        <v>24</v>
      </c>
      <c r="H43" s="6" t="s">
        <v>258</v>
      </c>
      <c r="I43" s="6" t="n">
        <v>5</v>
      </c>
      <c r="J43" s="6" t="n">
        <v>4</v>
      </c>
      <c r="K43" s="6" t="n">
        <v>5</v>
      </c>
      <c r="L43" s="6" t="n">
        <v>5</v>
      </c>
      <c r="M43" s="6" t="n">
        <v>21.31</v>
      </c>
      <c r="N43" s="6" t="s">
        <v>128</v>
      </c>
      <c r="O43" s="6" t="s">
        <v>27</v>
      </c>
      <c r="P43" s="6"/>
      <c r="Q43" s="7" t="s">
        <v>259</v>
      </c>
      <c r="R43" s="1" t="s">
        <v>260</v>
      </c>
      <c r="S43" s="1" t="n">
        <v>3</v>
      </c>
    </row>
    <row r="44" customFormat="false" ht="57.75" hidden="false" customHeight="true" outlineLevel="0" collapsed="false">
      <c r="A44" s="16" t="n">
        <v>43</v>
      </c>
      <c r="B44" s="17" t="s">
        <v>248</v>
      </c>
      <c r="C44" s="8" t="s">
        <v>36</v>
      </c>
      <c r="D44" s="17" t="s">
        <v>261</v>
      </c>
      <c r="E44" s="17" t="s">
        <v>262</v>
      </c>
      <c r="F44" s="17" t="s">
        <v>263</v>
      </c>
      <c r="G44" s="17" t="s">
        <v>24</v>
      </c>
      <c r="H44" s="6" t="s">
        <v>264</v>
      </c>
      <c r="I44" s="6" t="n">
        <v>4</v>
      </c>
      <c r="J44" s="6" t="n">
        <v>5</v>
      </c>
      <c r="K44" s="6" t="n">
        <v>5</v>
      </c>
      <c r="L44" s="6" t="n">
        <v>5</v>
      </c>
      <c r="M44" s="6" t="n">
        <v>27.25</v>
      </c>
      <c r="N44" s="6" t="s">
        <v>128</v>
      </c>
      <c r="O44" s="6" t="s">
        <v>27</v>
      </c>
      <c r="P44" s="6"/>
      <c r="Q44" s="7" t="s">
        <v>265</v>
      </c>
      <c r="R44" s="1" t="s">
        <v>266</v>
      </c>
      <c r="S44" s="1" t="n">
        <v>3</v>
      </c>
    </row>
    <row r="45" customFormat="false" ht="57.75" hidden="false" customHeight="true" outlineLevel="0" collapsed="false">
      <c r="A45" s="16" t="n">
        <v>44</v>
      </c>
      <c r="B45" s="17" t="s">
        <v>248</v>
      </c>
      <c r="C45" s="8" t="s">
        <v>36</v>
      </c>
      <c r="D45" s="17" t="s">
        <v>267</v>
      </c>
      <c r="E45" s="17" t="s">
        <v>268</v>
      </c>
      <c r="F45" s="17" t="s">
        <v>269</v>
      </c>
      <c r="G45" s="17" t="s">
        <v>24</v>
      </c>
      <c r="H45" s="6" t="s">
        <v>270</v>
      </c>
      <c r="I45" s="6" t="n">
        <v>5</v>
      </c>
      <c r="J45" s="6" t="n">
        <v>5</v>
      </c>
      <c r="K45" s="6" t="n">
        <v>5</v>
      </c>
      <c r="L45" s="6" t="n">
        <v>4</v>
      </c>
      <c r="M45" s="6" t="n">
        <v>27.04</v>
      </c>
      <c r="N45" s="6" t="s">
        <v>26</v>
      </c>
      <c r="O45" s="6" t="s">
        <v>27</v>
      </c>
      <c r="P45" s="6"/>
      <c r="Q45" s="7" t="s">
        <v>271</v>
      </c>
      <c r="R45" s="1" t="s">
        <v>80</v>
      </c>
      <c r="S45" s="1" t="n">
        <v>3</v>
      </c>
    </row>
    <row r="46" customFormat="false" ht="57.75" hidden="false" customHeight="true" outlineLevel="0" collapsed="false">
      <c r="A46" s="16" t="n">
        <v>45</v>
      </c>
      <c r="B46" s="17" t="s">
        <v>248</v>
      </c>
      <c r="C46" s="8" t="s">
        <v>36</v>
      </c>
      <c r="D46" s="17" t="s">
        <v>272</v>
      </c>
      <c r="E46" s="17" t="s">
        <v>273</v>
      </c>
      <c r="F46" s="17" t="s">
        <v>274</v>
      </c>
      <c r="G46" s="17" t="s">
        <v>24</v>
      </c>
      <c r="H46" s="6" t="s">
        <v>275</v>
      </c>
      <c r="I46" s="6" t="n">
        <v>5</v>
      </c>
      <c r="J46" s="6" t="n">
        <v>5</v>
      </c>
      <c r="K46" s="6" t="n">
        <v>5</v>
      </c>
      <c r="L46" s="6" t="n">
        <v>5</v>
      </c>
      <c r="M46" s="6" t="n">
        <v>23.79</v>
      </c>
      <c r="N46" s="6" t="s">
        <v>128</v>
      </c>
      <c r="O46" s="6" t="s">
        <v>27</v>
      </c>
      <c r="P46" s="6"/>
      <c r="Q46" s="7" t="s">
        <v>276</v>
      </c>
      <c r="R46" s="1" t="s">
        <v>266</v>
      </c>
      <c r="S46" s="1" t="n">
        <v>3</v>
      </c>
    </row>
    <row r="47" customFormat="false" ht="57.75" hidden="false" customHeight="true" outlineLevel="0" collapsed="false">
      <c r="A47" s="16" t="n">
        <v>46</v>
      </c>
      <c r="B47" s="17" t="s">
        <v>248</v>
      </c>
      <c r="C47" s="8" t="s">
        <v>36</v>
      </c>
      <c r="D47" s="17" t="s">
        <v>277</v>
      </c>
      <c r="E47" s="17" t="s">
        <v>278</v>
      </c>
      <c r="F47" s="17" t="s">
        <v>279</v>
      </c>
      <c r="G47" s="17" t="s">
        <v>24</v>
      </c>
      <c r="H47" s="6" t="s">
        <v>280</v>
      </c>
      <c r="I47" s="6" t="n">
        <v>5</v>
      </c>
      <c r="J47" s="6" t="n">
        <v>5</v>
      </c>
      <c r="K47" s="6" t="n">
        <v>5</v>
      </c>
      <c r="L47" s="6" t="n">
        <v>3</v>
      </c>
      <c r="M47" s="6" t="n">
        <v>20.12</v>
      </c>
      <c r="N47" s="6" t="s">
        <v>26</v>
      </c>
      <c r="O47" s="6" t="s">
        <v>27</v>
      </c>
      <c r="P47" s="6"/>
      <c r="Q47" s="7" t="s">
        <v>281</v>
      </c>
      <c r="R47" s="1" t="s">
        <v>282</v>
      </c>
      <c r="S47" s="1" t="n">
        <v>3</v>
      </c>
    </row>
    <row r="48" customFormat="false" ht="57.75" hidden="false" customHeight="true" outlineLevel="0" collapsed="false">
      <c r="A48" s="16" t="n">
        <v>47</v>
      </c>
      <c r="B48" s="17" t="s">
        <v>248</v>
      </c>
      <c r="C48" s="9" t="s">
        <v>64</v>
      </c>
      <c r="D48" s="17" t="s">
        <v>283</v>
      </c>
      <c r="E48" s="17" t="s">
        <v>284</v>
      </c>
      <c r="F48" s="17" t="s">
        <v>285</v>
      </c>
      <c r="G48" s="17" t="s">
        <v>286</v>
      </c>
      <c r="H48" s="6" t="s">
        <v>287</v>
      </c>
      <c r="I48" s="6" t="n">
        <v>5</v>
      </c>
      <c r="J48" s="6" t="n">
        <v>4</v>
      </c>
      <c r="K48" s="6" t="n">
        <v>4</v>
      </c>
      <c r="L48" s="6" t="n">
        <v>5</v>
      </c>
      <c r="M48" s="6" t="n">
        <v>1370.68</v>
      </c>
      <c r="N48" s="6" t="s">
        <v>36</v>
      </c>
      <c r="O48" s="6" t="s">
        <v>91</v>
      </c>
      <c r="P48" s="6"/>
      <c r="Q48" s="7" t="s">
        <v>288</v>
      </c>
      <c r="R48" s="1" t="s">
        <v>289</v>
      </c>
      <c r="S48" s="1" t="n">
        <v>2</v>
      </c>
    </row>
    <row r="49" customFormat="false" ht="57.75" hidden="false" customHeight="true" outlineLevel="0" collapsed="false">
      <c r="A49" s="16" t="n">
        <v>48</v>
      </c>
      <c r="B49" s="17" t="s">
        <v>248</v>
      </c>
      <c r="C49" s="9" t="s">
        <v>64</v>
      </c>
      <c r="D49" s="17" t="s">
        <v>283</v>
      </c>
      <c r="E49" s="17" t="s">
        <v>290</v>
      </c>
      <c r="F49" s="17" t="s">
        <v>291</v>
      </c>
      <c r="G49" s="17" t="s">
        <v>286</v>
      </c>
      <c r="H49" s="6" t="s">
        <v>292</v>
      </c>
      <c r="I49" s="6" t="n">
        <v>4</v>
      </c>
      <c r="J49" s="6" t="n">
        <v>5</v>
      </c>
      <c r="K49" s="6" t="n">
        <v>5</v>
      </c>
      <c r="L49" s="6" t="n">
        <v>4</v>
      </c>
      <c r="M49" s="6" t="n">
        <v>30.39</v>
      </c>
      <c r="N49" s="6" t="s">
        <v>36</v>
      </c>
      <c r="O49" s="6" t="s">
        <v>91</v>
      </c>
      <c r="P49" s="6"/>
      <c r="Q49" s="7" t="s">
        <v>293</v>
      </c>
      <c r="R49" s="1" t="s">
        <v>294</v>
      </c>
      <c r="S49" s="1" t="n">
        <v>3</v>
      </c>
    </row>
    <row r="50" customFormat="false" ht="57.75" hidden="false" customHeight="true" outlineLevel="0" collapsed="false">
      <c r="A50" s="16" t="n">
        <v>49</v>
      </c>
      <c r="B50" s="17" t="s">
        <v>248</v>
      </c>
      <c r="C50" s="9" t="s">
        <v>64</v>
      </c>
      <c r="D50" s="17" t="s">
        <v>295</v>
      </c>
      <c r="E50" s="17" t="s">
        <v>296</v>
      </c>
      <c r="F50" s="17" t="s">
        <v>297</v>
      </c>
      <c r="G50" s="17" t="s">
        <v>286</v>
      </c>
      <c r="H50" s="6" t="s">
        <v>298</v>
      </c>
      <c r="I50" s="6" t="n">
        <v>5</v>
      </c>
      <c r="J50" s="6" t="n">
        <v>5</v>
      </c>
      <c r="K50" s="6" t="n">
        <v>5</v>
      </c>
      <c r="L50" s="6" t="n">
        <v>3</v>
      </c>
      <c r="M50" s="6" t="n">
        <v>23.17</v>
      </c>
      <c r="N50" s="6" t="s">
        <v>26</v>
      </c>
      <c r="O50" s="6" t="s">
        <v>91</v>
      </c>
      <c r="P50" s="6"/>
      <c r="Q50" s="7" t="s">
        <v>299</v>
      </c>
      <c r="R50" s="1" t="s">
        <v>300</v>
      </c>
      <c r="S50" s="1" t="n">
        <v>3</v>
      </c>
    </row>
    <row r="51" customFormat="false" ht="57.75" hidden="false" customHeight="true" outlineLevel="0" collapsed="false">
      <c r="A51" s="16" t="n">
        <v>50</v>
      </c>
      <c r="B51" s="17" t="s">
        <v>248</v>
      </c>
      <c r="C51" s="9" t="s">
        <v>64</v>
      </c>
      <c r="D51" s="17" t="s">
        <v>301</v>
      </c>
      <c r="E51" s="17" t="s">
        <v>302</v>
      </c>
      <c r="F51" s="17" t="s">
        <v>303</v>
      </c>
      <c r="G51" s="17" t="s">
        <v>24</v>
      </c>
      <c r="H51" s="6" t="s">
        <v>304</v>
      </c>
      <c r="I51" s="6" t="n">
        <v>5</v>
      </c>
      <c r="J51" s="6" t="n">
        <v>5</v>
      </c>
      <c r="K51" s="6" t="n">
        <v>5</v>
      </c>
      <c r="L51" s="6" t="n">
        <v>5</v>
      </c>
      <c r="M51" s="6" t="n">
        <v>22.23</v>
      </c>
      <c r="N51" s="6" t="s">
        <v>36</v>
      </c>
      <c r="O51" s="6" t="s">
        <v>27</v>
      </c>
      <c r="P51" s="6"/>
      <c r="Q51" s="7" t="s">
        <v>305</v>
      </c>
      <c r="R51" s="1" t="s">
        <v>237</v>
      </c>
      <c r="S51" s="1" t="n">
        <v>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42"/>
    <col collapsed="false" customWidth="true" hidden="false" outlineLevel="0" max="4" min="4" style="1" width="80"/>
  </cols>
  <sheetData>
    <row r="1" customFormat="false" ht="15" hidden="false" customHeight="true" outlineLevel="0" collapsed="false">
      <c r="A1" s="2" t="s">
        <v>306</v>
      </c>
      <c r="B1" s="2" t="s">
        <v>307</v>
      </c>
      <c r="C1" s="2" t="s">
        <v>308</v>
      </c>
      <c r="D1" s="2" t="s">
        <v>309</v>
      </c>
    </row>
    <row r="2" customFormat="false" ht="75" hidden="false" customHeight="true" outlineLevel="0" collapsed="false">
      <c r="A2" s="18" t="s">
        <v>310</v>
      </c>
      <c r="B2" s="19" t="s">
        <v>311</v>
      </c>
      <c r="C2" s="19" t="s">
        <v>312</v>
      </c>
      <c r="D2" s="19" t="s">
        <v>313</v>
      </c>
    </row>
    <row r="3" customFormat="false" ht="75" hidden="false" customHeight="true" outlineLevel="0" collapsed="false">
      <c r="A3" s="18" t="s">
        <v>314</v>
      </c>
      <c r="B3" s="19" t="s">
        <v>315</v>
      </c>
      <c r="C3" s="19" t="s">
        <v>316</v>
      </c>
      <c r="D3" s="19" t="s">
        <v>317</v>
      </c>
    </row>
    <row r="4" customFormat="false" ht="75" hidden="false" customHeight="true" outlineLevel="0" collapsed="false">
      <c r="A4" s="18" t="s">
        <v>318</v>
      </c>
      <c r="B4" s="19" t="s">
        <v>315</v>
      </c>
      <c r="C4" s="19" t="s">
        <v>319</v>
      </c>
      <c r="D4" s="19" t="s">
        <v>320</v>
      </c>
    </row>
    <row r="5" customFormat="false" ht="75" hidden="false" customHeight="true" outlineLevel="0" collapsed="false">
      <c r="A5" s="18" t="s">
        <v>321</v>
      </c>
      <c r="B5" s="19" t="s">
        <v>315</v>
      </c>
      <c r="C5" s="19" t="s">
        <v>322</v>
      </c>
      <c r="D5" s="19" t="s">
        <v>323</v>
      </c>
    </row>
    <row r="6" customFormat="false" ht="75" hidden="false" customHeight="true" outlineLevel="0" collapsed="false">
      <c r="A6" s="18" t="s">
        <v>324</v>
      </c>
      <c r="B6" s="19" t="s">
        <v>325</v>
      </c>
      <c r="C6" s="19" t="s">
        <v>326</v>
      </c>
      <c r="D6" s="19" t="s">
        <v>327</v>
      </c>
    </row>
    <row r="8" customFormat="false" ht="60" hidden="false" customHeight="true" outlineLevel="0" collapsed="false">
      <c r="A8" s="20" t="s">
        <v>328</v>
      </c>
      <c r="B8" s="20"/>
      <c r="C8" s="20"/>
      <c r="D8" s="20"/>
    </row>
  </sheetData>
  <mergeCells count="1">
    <mergeCell ref="A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6"/>
    <col collapsed="false" customWidth="true" hidden="false" outlineLevel="0" max="2" min="2" style="1" width="48"/>
    <col collapsed="false" customWidth="true" hidden="false" outlineLevel="0" max="3" min="3" style="1" width="16"/>
  </cols>
  <sheetData>
    <row r="1" customFormat="false" ht="15" hidden="false" customHeight="true" outlineLevel="0" collapsed="false">
      <c r="A1" s="2" t="s">
        <v>306</v>
      </c>
      <c r="B1" s="2" t="s">
        <v>329</v>
      </c>
      <c r="C1" s="2" t="s">
        <v>330</v>
      </c>
    </row>
    <row r="2" customFormat="false" ht="15" hidden="false" customHeight="true" outlineLevel="0" collapsed="false">
      <c r="A2" s="21" t="s">
        <v>331</v>
      </c>
      <c r="B2" s="22"/>
      <c r="C2" s="23"/>
    </row>
    <row r="3" customFormat="false" ht="15" hidden="false" customHeight="true" outlineLevel="0" collapsed="false">
      <c r="A3" s="24" t="s">
        <v>332</v>
      </c>
      <c r="B3" s="22" t="s">
        <v>333</v>
      </c>
      <c r="C3" s="23" t="n">
        <f aca="false">IFERROR(AVERAGE('Gold Set'!I2:I51),"")</f>
        <v>4.52</v>
      </c>
    </row>
    <row r="4" customFormat="false" ht="15" hidden="false" customHeight="true" outlineLevel="0" collapsed="false">
      <c r="A4" s="24" t="s">
        <v>334</v>
      </c>
      <c r="B4" s="22" t="s">
        <v>335</v>
      </c>
      <c r="C4" s="23" t="n">
        <f aca="false">IFERROR(AVERAGE('Gold Set'!J2:J51),"")</f>
        <v>4.06</v>
      </c>
    </row>
    <row r="5" customFormat="false" ht="15" hidden="false" customHeight="true" outlineLevel="0" collapsed="false">
      <c r="A5" s="24" t="s">
        <v>336</v>
      </c>
      <c r="B5" s="22" t="s">
        <v>337</v>
      </c>
      <c r="C5" s="23" t="n">
        <f aca="false">IFERROR(AVERAGE('Gold Set'!K2:K51),"")</f>
        <v>4.64</v>
      </c>
    </row>
    <row r="6" customFormat="false" ht="15" hidden="false" customHeight="true" outlineLevel="0" collapsed="false">
      <c r="A6" s="24" t="s">
        <v>338</v>
      </c>
      <c r="B6" s="22" t="s">
        <v>339</v>
      </c>
      <c r="C6" s="23" t="n">
        <f aca="false">IFERROR(AVERAGE('Gold Set'!L2:L51),"")</f>
        <v>3.98</v>
      </c>
    </row>
    <row r="7" customFormat="false" ht="15" hidden="false" customHeight="true" outlineLevel="0" collapsed="false">
      <c r="A7" s="24" t="s">
        <v>340</v>
      </c>
      <c r="B7" s="22" t="s">
        <v>341</v>
      </c>
      <c r="C7" s="23" t="n">
        <f aca="false">IFERROR(AVERAGE('Gold Set'!M2:M51),"")</f>
        <v>57.952</v>
      </c>
    </row>
    <row r="8" customFormat="false" ht="15" hidden="false" customHeight="true" outlineLevel="0" collapsed="false">
      <c r="A8" s="24" t="s">
        <v>342</v>
      </c>
      <c r="B8" s="22" t="s">
        <v>343</v>
      </c>
      <c r="C8" s="23" t="n">
        <f aca="false">IFERROR(MEDIAN('Gold Set'!M2:M51),"")</f>
        <v>23.91</v>
      </c>
    </row>
    <row r="9" customFormat="false" ht="15" hidden="false" customHeight="true" outlineLevel="0" collapsed="false">
      <c r="A9" s="24"/>
      <c r="B9" s="22"/>
      <c r="C9" s="23"/>
    </row>
    <row r="10" customFormat="false" ht="15" hidden="false" customHeight="true" outlineLevel="0" collapsed="false">
      <c r="A10" s="24" t="s">
        <v>344</v>
      </c>
      <c r="B10" s="22"/>
      <c r="C10" s="23"/>
    </row>
    <row r="11" customFormat="false" ht="15" hidden="false" customHeight="true" outlineLevel="0" collapsed="false">
      <c r="A11" s="24" t="s">
        <v>345</v>
      </c>
      <c r="B11" s="22" t="s">
        <v>346</v>
      </c>
      <c r="C11" s="23" t="n">
        <f aca="false">IFERROR(AVERAGEIF('Gold Set'!C2:C51,"Easy",'Gold Set'!I2:I51),"")</f>
        <v>4.81818181818182</v>
      </c>
    </row>
    <row r="12" customFormat="false" ht="15" hidden="false" customHeight="true" outlineLevel="0" collapsed="false">
      <c r="A12" s="24" t="s">
        <v>347</v>
      </c>
      <c r="B12" s="22" t="s">
        <v>348</v>
      </c>
      <c r="C12" s="23" t="n">
        <f aca="false">IFERROR(AVERAGEIF('Gold Set'!C2:C51,"Medium",'Gold Set'!I2:I51),"")</f>
        <v>4.52380952380952</v>
      </c>
    </row>
    <row r="13" customFormat="false" ht="15" hidden="false" customHeight="true" outlineLevel="0" collapsed="false">
      <c r="A13" s="24" t="s">
        <v>349</v>
      </c>
      <c r="B13" s="22" t="s">
        <v>350</v>
      </c>
      <c r="C13" s="23" t="n">
        <f aca="false">IFERROR(AVERAGEIF('Gold Set'!C2:C51,"Hard",'Gold Set'!I2:I51),"")</f>
        <v>4.33333333333333</v>
      </c>
    </row>
    <row r="14" customFormat="false" ht="15" hidden="false" customHeight="true" outlineLevel="0" collapsed="false">
      <c r="A14" s="24"/>
      <c r="B14" s="22"/>
      <c r="C14" s="23"/>
    </row>
    <row r="15" customFormat="false" ht="15" hidden="false" customHeight="true" outlineLevel="0" collapsed="false">
      <c r="A15" s="24" t="s">
        <v>351</v>
      </c>
      <c r="B15" s="22"/>
      <c r="C15" s="23"/>
    </row>
    <row r="16" customFormat="false" ht="15" hidden="false" customHeight="true" outlineLevel="0" collapsed="false">
      <c r="A16" s="24" t="s">
        <v>19</v>
      </c>
      <c r="B16" s="22" t="s">
        <v>352</v>
      </c>
      <c r="C16" s="23" t="n">
        <f aca="false">IFERROR(AVERAGEIF('Gold Set'!B2:B51,"Week 1",'Gold Set'!I2:I51),"")</f>
        <v>4.8</v>
      </c>
    </row>
    <row r="17" customFormat="false" ht="15" hidden="false" customHeight="true" outlineLevel="0" collapsed="false">
      <c r="A17" s="24" t="s">
        <v>81</v>
      </c>
      <c r="B17" s="22" t="s">
        <v>353</v>
      </c>
      <c r="C17" s="23" t="n">
        <f aca="false">IFERROR(AVERAGEIF('Gold Set'!B2:B51,"Week 2",'Gold Set'!I2:I51),"")</f>
        <v>4.1</v>
      </c>
    </row>
    <row r="18" customFormat="false" ht="15" hidden="false" customHeight="true" outlineLevel="0" collapsed="false">
      <c r="A18" s="24" t="s">
        <v>136</v>
      </c>
      <c r="B18" s="22" t="s">
        <v>354</v>
      </c>
      <c r="C18" s="23" t="n">
        <f aca="false">IFERROR(AVERAGEIF('Gold Set'!B2:B51,"Week 3",'Gold Set'!I2:I51),"")</f>
        <v>4.8</v>
      </c>
    </row>
    <row r="19" customFormat="false" ht="15" hidden="false" customHeight="true" outlineLevel="0" collapsed="false">
      <c r="A19" s="24" t="s">
        <v>194</v>
      </c>
      <c r="B19" s="22" t="s">
        <v>355</v>
      </c>
      <c r="C19" s="23" t="n">
        <f aca="false">IFERROR(AVERAGEIF('Gold Set'!B2:B51,"Week 4",'Gold Set'!I2:I51),"")</f>
        <v>4.1</v>
      </c>
    </row>
    <row r="20" customFormat="false" ht="15" hidden="false" customHeight="true" outlineLevel="0" collapsed="false">
      <c r="A20" s="24" t="s">
        <v>248</v>
      </c>
      <c r="B20" s="22" t="s">
        <v>356</v>
      </c>
      <c r="C20" s="23" t="n">
        <f aca="false">IFERROR(AVERAGEIF('Gold Set'!B2:B51,"Week 5",'Gold Set'!I2:I51),"")</f>
        <v>4.8</v>
      </c>
    </row>
    <row r="21" customFormat="false" ht="15" hidden="false" customHeight="true" outlineLevel="0" collapsed="false">
      <c r="A21" s="24"/>
      <c r="B21" s="22"/>
      <c r="C21" s="23"/>
    </row>
    <row r="22" customFormat="false" ht="15" hidden="false" customHeight="true" outlineLevel="0" collapsed="false">
      <c r="A22" s="21" t="s">
        <v>357</v>
      </c>
      <c r="B22" s="22"/>
      <c r="C22" s="23"/>
    </row>
    <row r="23" customFormat="false" ht="15" hidden="false" customHeight="true" outlineLevel="0" collapsed="false">
      <c r="A23" s="24" t="s">
        <v>358</v>
      </c>
      <c r="B23" s="22" t="s">
        <v>359</v>
      </c>
      <c r="C23" s="23" t="n">
        <f aca="false">IFERROR(AVERAGEIF('Gold Set'!N2:N51,"High",'Gold Set'!I2:I51),"")</f>
        <v>4.83333333333333</v>
      </c>
    </row>
    <row r="24" customFormat="false" ht="15" hidden="false" customHeight="true" outlineLevel="0" collapsed="false">
      <c r="A24" s="24" t="s">
        <v>360</v>
      </c>
      <c r="B24" s="22" t="s">
        <v>361</v>
      </c>
      <c r="C24" s="23" t="n">
        <f aca="false">IFERROR(AVERAGEIF('Gold Set'!N2:N51,"Medium",'Gold Set'!I2:I51),"")</f>
        <v>4.64</v>
      </c>
    </row>
    <row r="25" customFormat="false" ht="15" hidden="false" customHeight="true" outlineLevel="0" collapsed="false">
      <c r="A25" s="24" t="s">
        <v>362</v>
      </c>
      <c r="B25" s="22" t="s">
        <v>363</v>
      </c>
      <c r="C25" s="23" t="n">
        <f aca="false">IFERROR(AVERAGEIF('Gold Set'!N2:N51,"Low",'Gold Set'!I2:I51),"")</f>
        <v>4.26315789473684</v>
      </c>
    </row>
    <row r="26" customFormat="false" ht="15" hidden="false" customHeight="true" outlineLevel="0" collapsed="false">
      <c r="A26" s="24" t="s">
        <v>364</v>
      </c>
      <c r="B26" s="22" t="s">
        <v>365</v>
      </c>
      <c r="C26" s="23" t="str">
        <f aca="false">IF(OR(C23="",C24="",C25=""),"",IF(AND(C23&gt;=C24,C24&gt;=C25),"Yes - calibrated","No - check"))</f>
        <v>Yes - calibrated</v>
      </c>
    </row>
    <row r="27" customFormat="false" ht="15" hidden="false" customHeight="true" outlineLevel="0" collapsed="false">
      <c r="A27" s="24"/>
      <c r="B27" s="22"/>
      <c r="C27" s="23"/>
    </row>
    <row r="28" customFormat="false" ht="15" hidden="false" customHeight="true" outlineLevel="0" collapsed="false">
      <c r="A28" s="21" t="s">
        <v>366</v>
      </c>
      <c r="B28" s="22"/>
      <c r="C28" s="23"/>
    </row>
    <row r="29" customFormat="false" ht="15" hidden="false" customHeight="true" outlineLevel="0" collapsed="false">
      <c r="A29" s="24" t="s">
        <v>367</v>
      </c>
      <c r="B29" s="22" t="s">
        <v>368</v>
      </c>
      <c r="C29" s="23" t="n">
        <f aca="false">COUNTIF('Gold Set'!G2:G51,"Yes*")</f>
        <v>11</v>
      </c>
    </row>
    <row r="30" customFormat="false" ht="15" hidden="false" customHeight="true" outlineLevel="0" collapsed="false">
      <c r="A30" s="24" t="s">
        <v>369</v>
      </c>
      <c r="B30" s="22" t="s">
        <v>370</v>
      </c>
      <c r="C30" s="23" t="n">
        <f aca="false">COUNTIF('Gold Set'!O2:O51,"Y")</f>
        <v>18</v>
      </c>
    </row>
    <row r="31" customFormat="false" ht="15" hidden="false" customHeight="true" outlineLevel="0" collapsed="false">
      <c r="A31" s="24" t="s">
        <v>371</v>
      </c>
      <c r="B31" s="22" t="s">
        <v>372</v>
      </c>
      <c r="C31" s="23" t="n">
        <f aca="false">SUMPRODUCT((LEFT('Gold Set'!G2:G51,3)="Yes")*('Gold Set'!O2:O51="Y"))</f>
        <v>10</v>
      </c>
    </row>
    <row r="32" customFormat="false" ht="15" hidden="false" customHeight="true" outlineLevel="0" collapsed="false">
      <c r="A32" s="24" t="s">
        <v>373</v>
      </c>
      <c r="B32" s="22" t="s">
        <v>374</v>
      </c>
      <c r="C32" s="23" t="n">
        <f aca="false">SUMPRODUCT((LEFT('Gold Set'!G2:G51,3)="Yes")*('Gold Set'!O2:O51&lt;&gt;"Y"))</f>
        <v>1</v>
      </c>
    </row>
    <row r="33" customFormat="false" ht="15" hidden="false" customHeight="true" outlineLevel="0" collapsed="false">
      <c r="A33" s="24" t="s">
        <v>375</v>
      </c>
      <c r="B33" s="22" t="s">
        <v>376</v>
      </c>
      <c r="C33" s="23" t="n">
        <f aca="false">SUMPRODUCT((LEFT('Gold Set'!G2:G51,3)&lt;&gt;"Yes")*('Gold Set'!O2:O51="Y"))</f>
        <v>8</v>
      </c>
    </row>
    <row r="34" customFormat="false" ht="15" hidden="false" customHeight="true" outlineLevel="0" collapsed="false">
      <c r="A34" s="24" t="s">
        <v>377</v>
      </c>
      <c r="B34" s="22" t="s">
        <v>378</v>
      </c>
      <c r="C34" s="23" t="n">
        <f aca="false">IFERROR(C31/C30,"")</f>
        <v>0.555555555555556</v>
      </c>
    </row>
    <row r="35" customFormat="false" ht="15" hidden="false" customHeight="true" outlineLevel="0" collapsed="false">
      <c r="A35" s="24" t="s">
        <v>379</v>
      </c>
      <c r="B35" s="22" t="s">
        <v>380</v>
      </c>
      <c r="C35" s="23" t="n">
        <f aca="false">IFERROR(C31/C29,"")</f>
        <v>0.909090909090909</v>
      </c>
    </row>
    <row r="37" customFormat="false" ht="14.25" hidden="false" customHeight="false" outlineLevel="0" collapsed="false">
      <c r="A37" s="1" t="s">
        <v>381</v>
      </c>
    </row>
    <row r="38" customFormat="false" ht="14.25" hidden="false" customHeight="false" outlineLevel="0" collapsed="false">
      <c r="A38" s="1" t="s">
        <v>382</v>
      </c>
      <c r="B38" s="1" t="s">
        <v>383</v>
      </c>
      <c r="C38" s="1" t="n">
        <f aca="false">IFERROR(AVERAGEIF('Gold Set'!N2:N51,"High",'Gold Set'!J2:J51),"")</f>
        <v>4.66666666666667</v>
      </c>
    </row>
    <row r="39" customFormat="false" ht="14.25" hidden="false" customHeight="false" outlineLevel="0" collapsed="false">
      <c r="A39" s="1" t="s">
        <v>384</v>
      </c>
      <c r="B39" s="1" t="s">
        <v>385</v>
      </c>
      <c r="C39" s="1" t="n">
        <f aca="false">IFERROR(AVERAGEIF('Gold Set'!N2:N51,"Medium",'Gold Set'!J2:J51),"")</f>
        <v>4.48</v>
      </c>
    </row>
    <row r="40" customFormat="false" ht="14.25" hidden="false" customHeight="false" outlineLevel="0" collapsed="false">
      <c r="A40" s="1" t="s">
        <v>386</v>
      </c>
      <c r="B40" s="1" t="s">
        <v>387</v>
      </c>
      <c r="C40" s="1" t="n">
        <f aca="false">IFERROR(AVERAGEIF('Gold Set'!N2:N51,"Low",'Gold Set'!J2:J51),"")</f>
        <v>3.31578947368421</v>
      </c>
    </row>
    <row r="41" customFormat="false" ht="14.25" hidden="false" customHeight="false" outlineLevel="0" collapsed="false">
      <c r="A41" s="1" t="s">
        <v>388</v>
      </c>
      <c r="B41" s="1" t="s">
        <v>389</v>
      </c>
      <c r="C41" s="1" t="str">
        <f aca="false">IF(OR(C38="",C39="",C40=""),"",IF(AND(C38&gt;=C39,C39&gt;=C40),"Yes - calibrated","No - check"))</f>
        <v>Yes - calibrated</v>
      </c>
    </row>
    <row r="43" customFormat="false" ht="14.25" hidden="false" customHeight="false" outlineLevel="0" collapsed="false">
      <c r="A43" s="1" t="s">
        <v>390</v>
      </c>
    </row>
    <row r="44" customFormat="false" ht="14.25" hidden="false" customHeight="false" outlineLevel="0" collapsed="false">
      <c r="A44" s="1" t="s">
        <v>391</v>
      </c>
      <c r="B44" s="1" t="s">
        <v>392</v>
      </c>
      <c r="C44" s="1" t="n">
        <f aca="false">COUNTIF('Gold Set'!N2:N51,"High")</f>
        <v>6</v>
      </c>
    </row>
    <row r="45" customFormat="false" ht="14.25" hidden="false" customHeight="false" outlineLevel="0" collapsed="false">
      <c r="A45" s="1" t="s">
        <v>393</v>
      </c>
      <c r="B45" s="1" t="s">
        <v>394</v>
      </c>
      <c r="C45" s="1" t="n">
        <f aca="false">COUNTIF('Gold Set'!N2:N51,"Medium")</f>
        <v>25</v>
      </c>
    </row>
    <row r="46" customFormat="false" ht="14.25" hidden="false" customHeight="false" outlineLevel="0" collapsed="false">
      <c r="A46" s="1" t="s">
        <v>395</v>
      </c>
      <c r="B46" s="1" t="s">
        <v>396</v>
      </c>
      <c r="C46" s="1" t="n">
        <f aca="false">COUNTIF('Gold Set'!N2:N51,"Low")</f>
        <v>19</v>
      </c>
    </row>
    <row r="48" customFormat="false" ht="14.25" hidden="false" customHeight="false" outlineLevel="0" collapsed="false">
      <c r="A48" s="1" t="s">
        <v>397</v>
      </c>
    </row>
    <row r="49" customFormat="false" ht="14.25" hidden="false" customHeight="false" outlineLevel="0" collapsed="false">
      <c r="A49" s="1" t="s">
        <v>398</v>
      </c>
      <c r="B49" s="1" t="s">
        <v>399</v>
      </c>
      <c r="C49" s="1" t="n">
        <f aca="false">COUNTIF('Gold Set'!L2:L51,"&lt;=2")</f>
        <v>4</v>
      </c>
    </row>
    <row r="50" customFormat="false" ht="14.25" hidden="false" customHeight="false" outlineLevel="0" collapsed="false">
      <c r="A50" s="1" t="s">
        <v>400</v>
      </c>
      <c r="B50" s="1" t="s">
        <v>401</v>
      </c>
      <c r="C50" s="1" t="n">
        <f aca="false">IFERROR(AVERAGEIF('Gold Set'!L2:L51,"&lt;=2",'Gold Set'!I2:I51),"")</f>
        <v>3.75</v>
      </c>
    </row>
    <row r="51" customFormat="false" ht="14.25" hidden="false" customHeight="false" outlineLevel="0" collapsed="false">
      <c r="A51" s="1" t="s">
        <v>402</v>
      </c>
      <c r="B51" s="1" t="s">
        <v>403</v>
      </c>
      <c r="C51" s="1" t="n">
        <f aca="false">IFERROR(AVERAGEIF('Gold Set'!L2:L51,"&lt;=2",'Gold Set'!J2:J51),"")</f>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2026-08-14T12:37:44Z</dcterms:created>
  <dc:creator>openpyxl</dc:creator>
  <dc:description/>
  <dc:language>en-US</dc:language>
  <cp:lastModifiedBy/>
  <dcterms:modified xsi:type="dcterms:W3CDTF">2026-08-15T16:06:58Z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