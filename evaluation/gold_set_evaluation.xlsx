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old Set" sheetId="1" state="visible" r:id="rId1"/>
    <sheet xmlns:r="http://schemas.openxmlformats.org/officeDocument/2006/relationships" name="Metric Rubric" sheetId="2" state="visible" r:id="rId2"/>
    <sheet xmlns:r="http://schemas.openxmlformats.org/officeDocument/2006/relationships" name="Results 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1F2937"/>
      <sz val="9"/>
    </font>
    <font>
      <name val="Arial"/>
      <charset val="1"/>
      <family val="0"/>
      <color rgb="FF1F2937"/>
      <sz val="9"/>
    </font>
    <font>
      <name val="Arial"/>
      <charset val="1"/>
      <family val="0"/>
      <i val="1"/>
      <color rgb="FF6B7280"/>
      <sz val="9"/>
    </font>
    <font>
      <name val="Arial"/>
      <charset val="1"/>
      <family val="0"/>
      <b val="1"/>
      <color rgb="FF1E40AF"/>
      <sz val="10"/>
    </font>
    <font>
      <name val="Arial"/>
      <charset val="1"/>
      <family val="0"/>
      <color rgb="FF374151"/>
      <sz val="9"/>
    </font>
    <font>
      <name val="Arial"/>
      <charset val="1"/>
      <family val="0"/>
      <color rgb="FF1F2937"/>
      <sz val="10"/>
    </font>
  </fonts>
  <fills count="12">
    <fill>
      <patternFill/>
    </fill>
    <fill>
      <patternFill patternType="gray125"/>
    </fill>
    <fill>
      <patternFill patternType="solid">
        <fgColor rgb="FF1E40AF"/>
        <bgColor rgb="FF003366"/>
      </patternFill>
    </fill>
    <fill>
      <patternFill patternType="solid">
        <fgColor rgb="FFDBEAFE"/>
        <bgColor rgb="FFF3E8FF"/>
      </patternFill>
    </fill>
    <fill>
      <patternFill patternType="solid">
        <fgColor rgb="FFDCFCE7"/>
        <bgColor rgb="FFD1FAE5"/>
      </patternFill>
    </fill>
    <fill>
      <patternFill patternType="solid">
        <fgColor rgb="FFFFFBEB"/>
        <bgColor rgb="FFFFFFFF"/>
      </patternFill>
    </fill>
    <fill>
      <patternFill patternType="solid">
        <fgColor rgb="FFFEF3C7"/>
        <bgColor rgb="FFFEF9C3"/>
      </patternFill>
    </fill>
    <fill>
      <patternFill patternType="solid">
        <fgColor rgb="FFFEE2E2"/>
        <bgColor rgb="FFFFE4E6"/>
      </patternFill>
    </fill>
    <fill>
      <patternFill patternType="solid">
        <fgColor rgb="FFD1FAE5"/>
        <bgColor rgb="FFDCFCE7"/>
      </patternFill>
    </fill>
    <fill>
      <patternFill patternType="solid">
        <fgColor rgb="FFFEF9C3"/>
        <bgColor rgb="FFFEF3C7"/>
      </patternFill>
    </fill>
    <fill>
      <patternFill patternType="solid">
        <fgColor rgb="FFFFE4E6"/>
        <bgColor rgb="FFFEE2E2"/>
      </patternFill>
    </fill>
    <fill>
      <patternFill patternType="solid">
        <fgColor rgb="FFF3E8FF"/>
        <bgColor rgb="FFFFE4E6"/>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0" borderId="0" applyAlignment="1" pivotButton="0" quotePrefix="0" xfId="0">
      <alignment horizontal="general" vertical="bottom"/>
    </xf>
    <xf numFmtId="0" fontId="5" fillId="3" borderId="1" applyAlignment="1" pivotButton="0" quotePrefix="0" xfId="0">
      <alignment horizontal="general" vertical="top" wrapText="1"/>
    </xf>
    <xf numFmtId="0" fontId="6" fillId="3" borderId="1" applyAlignment="1" pivotButton="0" quotePrefix="0" xfId="0">
      <alignment horizontal="general" vertical="top" wrapText="1"/>
    </xf>
    <xf numFmtId="0" fontId="5" fillId="4" borderId="1" applyAlignment="1" pivotButton="0" quotePrefix="0" xfId="0">
      <alignment horizontal="general" vertical="top" wrapText="1"/>
    </xf>
    <xf numFmtId="0" fontId="6" fillId="5" borderId="1" applyAlignment="1" pivotButton="0" quotePrefix="0" xfId="0">
      <alignment horizontal="general" vertical="top" wrapText="1"/>
    </xf>
    <xf numFmtId="0" fontId="0" fillId="0" borderId="0" applyAlignment="1" pivotButton="0" quotePrefix="0" xfId="0">
      <alignment horizontal="general" vertical="bottom"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6" fillId="8" borderId="1" applyAlignment="1" pivotButton="0" quotePrefix="0" xfId="0">
      <alignment horizontal="general" vertical="top" wrapText="1"/>
    </xf>
    <xf numFmtId="0" fontId="5" fillId="9" borderId="1" applyAlignment="1" pivotButton="0" quotePrefix="0" xfId="0">
      <alignment horizontal="general" vertical="top" wrapText="1"/>
    </xf>
    <xf numFmtId="0" fontId="6"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6"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6" fillId="3" borderId="1" applyAlignment="1" pivotButton="0" quotePrefix="0" xfId="0">
      <alignment horizontal="general" vertical="top" wrapText="1"/>
    </xf>
    <xf numFmtId="0" fontId="5" fillId="4" borderId="1" applyAlignment="1" pivotButton="0" quotePrefix="0" xfId="0">
      <alignment horizontal="general" vertical="top" wrapText="1"/>
    </xf>
    <xf numFmtId="0" fontId="6" fillId="5" borderId="1" applyAlignment="1" pivotButton="0" quotePrefix="0" xfId="0">
      <alignment horizontal="general" vertical="top" wrapText="1"/>
    </xf>
    <xf numFmtId="0" fontId="0" fillId="0" borderId="0" applyAlignment="1" pivotButton="0" quotePrefix="0" xfId="0">
      <alignment horizontal="general" vertical="bottom"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6" fillId="8" borderId="1" applyAlignment="1" pivotButton="0" quotePrefix="0" xfId="0">
      <alignment horizontal="general" vertical="top" wrapText="1"/>
    </xf>
    <xf numFmtId="0" fontId="5" fillId="9" borderId="1" applyAlignment="1" pivotButton="0" quotePrefix="0" xfId="0">
      <alignment horizontal="general" vertical="top" wrapText="1"/>
    </xf>
    <xf numFmtId="0" fontId="6"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6"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E4E6"/>
      <rgbColor rgb="FF808080"/>
      <rgbColor rgb="FF9999FF"/>
      <rgbColor rgb="FF993366"/>
      <rgbColor rgb="FFFEF9C3"/>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DBEAFE"/>
      <rgbColor rgb="FFD1FAE5"/>
      <rgbColor rgb="FFFEF3C7"/>
      <rgbColor rgb="FFF3E8FF"/>
      <rgbColor rgb="FFFFFBEB"/>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74151"/>
      <rgbColor rgb="FF993300"/>
      <rgbColor rgb="FF993366"/>
      <rgbColor rgb="FF1E40AF"/>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S51"/>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G47" activePane="bottomRight" state="frozen"/>
      <selection pane="topLeft" activeCell="A1" activeCellId="0" sqref="A1"/>
      <selection pane="topRight" activeCell="G1" activeCellId="0" sqref="G1"/>
      <selection pane="bottomLeft" activeCell="A47" activeCellId="0" sqref="A47"/>
      <selection pane="bottomRight" activeCell="L49" activeCellId="0" sqref="L49"/>
    </sheetView>
  </sheetViews>
  <sheetFormatPr baseColWidth="8" defaultColWidth="8.66796875" defaultRowHeight="14.25" zeroHeight="0" outlineLevelRow="0"/>
  <cols>
    <col width="4" customWidth="1" style="25" min="1" max="1"/>
    <col width="8" customWidth="1" style="25" min="2" max="2"/>
    <col width="10" customWidth="1" style="25" min="3" max="3"/>
    <col width="18" customWidth="1" style="25" min="4" max="4"/>
    <col width="40" customWidth="1" style="25" min="5" max="5"/>
    <col width="42" customWidth="1" style="25" min="6" max="6"/>
    <col width="16" customWidth="1" style="25" min="7" max="7"/>
    <col width="40" customWidth="1" style="25" min="8" max="8"/>
    <col width="12" customWidth="1" style="25" min="9" max="10"/>
    <col width="13" customWidth="1" style="25" min="11" max="12"/>
    <col width="11" customWidth="1" style="25" min="13" max="13"/>
    <col width="13" customWidth="1" style="25" min="14" max="14"/>
    <col width="12" customWidth="1" style="25" min="15" max="15"/>
    <col width="30" customWidth="1" style="25" min="16" max="16"/>
  </cols>
  <sheetData>
    <row r="1" ht="54.75" customHeight="1" s="26">
      <c r="A1" s="27" t="inlineStr">
        <is>
          <t>#</t>
        </is>
      </c>
      <c r="B1" s="27" t="inlineStr">
        <is>
          <t>Week</t>
        </is>
      </c>
      <c r="C1" s="27" t="inlineStr">
        <is>
          <t>Difficulty</t>
        </is>
      </c>
      <c r="D1" s="27" t="inlineStr">
        <is>
          <t>Topic</t>
        </is>
      </c>
      <c r="E1" s="27" t="inlineStr">
        <is>
          <t>Question</t>
        </is>
      </c>
      <c r="F1" s="27" t="inlineStr">
        <is>
          <t>Must Include (key concepts)</t>
        </is>
      </c>
      <c r="G1" s="27" t="inlineStr">
        <is>
          <t>Prereq Should Fire?</t>
        </is>
      </c>
      <c r="H1" s="27" t="inlineStr">
        <is>
          <t>System Answer (paste)</t>
        </is>
      </c>
      <c r="I1" s="27" t="inlineStr">
        <is>
          <t>M1: Correctness (1-5)</t>
        </is>
      </c>
      <c r="J1" s="27" t="inlineStr">
        <is>
          <t>M2: Faithfulness (1-5)</t>
        </is>
      </c>
      <c r="K1" s="27" t="inlineStr">
        <is>
          <t>M3: Answer Relevance (1-5)</t>
        </is>
      </c>
      <c r="L1" s="27" t="inlineStr">
        <is>
          <t>M4: Context Relevance (1-5)</t>
        </is>
      </c>
      <c r="M1" s="27" t="inlineStr">
        <is>
          <t>M5: Latency (s)</t>
        </is>
      </c>
      <c r="N1" s="27" t="inlineStr">
        <is>
          <t>Confidence Band</t>
        </is>
      </c>
      <c r="O1" s="27" t="inlineStr">
        <is>
          <t>Prereq Fired? (Y/N)</t>
        </is>
      </c>
      <c r="P1" s="27" t="inlineStr">
        <is>
          <t>Notes / Failure mode</t>
        </is>
      </c>
      <c r="Q1" s="25" t="inlineStr">
        <is>
          <t>Retrieved Context (chunks)</t>
        </is>
      </c>
      <c r="R1" s="25" t="inlineStr">
        <is>
          <t>Signal 1 (band | mean dist)</t>
        </is>
      </c>
      <c r="S1" s="25" t="inlineStr">
        <is>
          <t>Signal 2 (verify 1-3)</t>
        </is>
      </c>
    </row>
    <row r="2" ht="57.75" customHeight="1" s="26">
      <c r="A2" s="28" t="n">
        <v>1</v>
      </c>
      <c r="B2" s="29" t="inlineStr">
        <is>
          <t>Week 1</t>
        </is>
      </c>
      <c r="C2" s="30" t="inlineStr">
        <is>
          <t>Easy</t>
        </is>
      </c>
      <c r="D2" s="29" t="inlineStr">
        <is>
          <t>CIA Triad</t>
        </is>
      </c>
      <c r="E2" s="29" t="inlineStr">
        <is>
          <t>What does the CIA triad stand for in network security?</t>
        </is>
      </c>
      <c r="F2" s="29" t="inlineStr">
        <is>
          <t>Confidentiality, Integrity, Availability</t>
        </is>
      </c>
      <c r="G2" s="29" t="inlineStr">
        <is>
          <t>No</t>
        </is>
      </c>
      <c r="H2" s="31" t="inlineStr">
        <is>
          <t>The CIA triad stands for Confidentiality, Integrity, and Availability.</t>
        </is>
      </c>
      <c r="I2" s="31" t="n">
        <v>5</v>
      </c>
      <c r="J2" s="31" t="n">
        <v>5</v>
      </c>
      <c r="K2" s="31" t="n">
        <v>5</v>
      </c>
      <c r="L2" s="31" t="n">
        <v>3</v>
      </c>
      <c r="M2" s="31" t="n">
        <v>2.95</v>
      </c>
      <c r="N2" s="31" t="inlineStr">
        <is>
          <t>Low</t>
        </is>
      </c>
      <c r="O2" s="31" t="inlineStr">
        <is>
          <t>N</t>
        </is>
      </c>
      <c r="P2" s="31" t="inlineStr">
        <is>
          <t>Under-confident: Low band on a 5/5 answer (mean distance 1.111 above the 1.1 cut-off).</t>
        </is>
      </c>
      <c r="Q2" s="32" t="inlineStr">
        <is>
          <t>[Source 1 | Week 1 | Network attacks | lecture | dist=0.971]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2 | Week 1 | How do we define security | lecture | dist=1.059]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3 | Week 1 | Knowledge check PDF | quiz | dist=1.107]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4 | Week 5 | Quiz week 1-5 | quiz | dist=1.194]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5 | Firewall topologies | lecture | dist=1.221]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t>
        </is>
      </c>
      <c r="R2" s="25" t="inlineStr">
        <is>
          <t>Low | 1.111</t>
        </is>
      </c>
      <c r="S2" s="25" t="n">
        <v>3</v>
      </c>
    </row>
    <row r="3" ht="57.75" customHeight="1" s="26">
      <c r="A3" s="28" t="n">
        <v>2</v>
      </c>
      <c r="B3" s="29" t="inlineStr">
        <is>
          <t>Week 1</t>
        </is>
      </c>
      <c r="C3" s="30" t="inlineStr">
        <is>
          <t>Easy</t>
        </is>
      </c>
      <c r="D3" s="29" t="inlineStr">
        <is>
          <t>Security services</t>
        </is>
      </c>
      <c r="E3" s="29" t="inlineStr">
        <is>
          <t>What does authentication mean in network security?</t>
        </is>
      </c>
      <c r="F3" s="29" t="inlineStr">
        <is>
          <t>Verifying identity of a user or system before granting access</t>
        </is>
      </c>
      <c r="G3" s="29" t="inlineStr">
        <is>
          <t>No</t>
        </is>
      </c>
      <c r="H3" s="31" t="inlineStr">
        <is>
          <t>In network security, authentication refers to the process of verifying the identity of a user, system, or device before granting access to a network, system, or application. This involves checking credentials and ensuring that the user or device claiming to be a legitimate entity is indeed who they claim to be. Authentication is an essential security measure to prevent unauthorized access to sensitive information and systems.
As per Source 2, Week 1, How to define security, authentication is a security mechanism that enables us to enforce security properties, such as integrity and confidentiality. For example, asking users to input an admin password is a way to authenticate and enforce the integrity of a network.</t>
        </is>
      </c>
      <c r="I3" s="31" t="n">
        <v>5</v>
      </c>
      <c r="J3" s="31" t="n">
        <v>2</v>
      </c>
      <c r="K3" s="31" t="n">
        <v>5</v>
      </c>
      <c r="L3" s="31" t="n">
        <v>2</v>
      </c>
      <c r="M3" s="31" t="n">
        <v>26.94</v>
      </c>
      <c r="N3" s="31" t="inlineStr">
        <is>
          <t>Low</t>
        </is>
      </c>
      <c r="O3" s="31" t="inlineStr">
        <is>
          <t>N</t>
        </is>
      </c>
      <c r="P3" s="31" t="inlineStr">
        <is>
          <t>M4 2/5: retrieved chunks largely off-topic for this question; M2 2/5: answer asserts more than the retrieved chunks support; Under-confident: Low band on a 5/5 answer (mean distance 1.11 above the 1.1 cut-off).</t>
        </is>
      </c>
      <c r="Q3" s="32" t="inlineStr">
        <is>
          <t>[Source 1 | Week 5 | Firewall topologies | lecture | dist=0.964]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2 | Week 1 | How do we define security | lecture | dist=1.105]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3 | Week 1 | Overview and learning outcomes | overview | dist=1.126]
1.1 Overview and learning outcomes Welcome to week 1 of this module on Network Security. On successful completion of this week, you will understand how a network is structured, gaining an idea of how security properties are linked to the general categories of attacks that affect a network infrastructure. [Learning outcome box] Learning outcomes By the end of this week, you should be able to: Describe basic security terminology and how security inside a network is achieved. Describe the OSI model and show knowledge of each of the network layers. Describe the different kind of attacks, relating them with the basic security properties.
[Source 4 | Week 5 | What is a firewall | lecture | dist=1.174]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5 | Week 5 | What is a firewall | lecture | dist=1.18]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to a service according to which entity is trying to access that specified service. This feature is applied to users inside the firewall perimeter (internal users). It may also be applied to incoming traffic from external users. It requires some form of secure authentication technology. Using Ipsec and similar protocols, this feature can be applied to incoming traffic from external users. [Card vertical (no image)] Behaviour control This controls how particular services are used. It keeps track of particular services in order to find any malicious activity in the service. An example would be blocking spam mails by filtering addresses. Firewall limitations A firewall cannot protect from attacks that bypass it or against malware imported via a laptop, a PDA, or storage that was infected from outside the network. For example: sneakernet, utility modems, trusted organisations, trusted services (eg SSL/SSH), etc. [Definition box] Sneakernet An informal term describing the transfer of electronic information, especially computer files, by physically moving removable media such as magnetic tape, floppy disks, compact discs, USB flash drives (thumb drives, USB stick) or external hard drives from one computer to another, usually instead of transmitting the information over a computer network. The term, a tongue-in-cheek play on Ethernet, refers to the use of someone wearing sneakers as the transport mechanism for the data. You can watch the following video to see an example of Sneakernet. 3.3 What is a firewall?: What is a firewall? | KEATS (LD: only if video is KD-produced, not needed for 3rd party videos) Sneakernet Dr Ievgeniia Kuzminykh Senior Lecturer in Cybersecurity Education View transcript Dr Ievgeniia Kuzminykh | Senior Lecturer in Cybersecurity Education Hi. In this video, we are going to take a look at an attack called ‘Sneakernet’, which is an informal term for the transfer of electronic information by physically moving media such as optical discs, USB flash drives or external hard drives between computers, rather than transmitting it over a computer network. We are going to have a look at an example from Mr Robot. This clip from Mr Robot, season 1, episode 6, shows us an attempt to bypass the potential protections that are in place to protect a precinct. Now, let’s play the clip. [A woman is walking on a parking lot and dropping on the ground several USB flash drives.] Elliot, the hacker, aims to get into the police network infrastructure. He recruited Darlene to pull off a simple, but classic penetration testing technique. Let's pause for a moment and look at this scene. In order to allow Elliot to get access to the IT police infrastructure, she is planting poisoned USB sticks in hopes that someone will plug one in, in front of the</t>
        </is>
      </c>
      <c r="R3" s="25" t="inlineStr">
        <is>
          <t>Low | 1.11</t>
        </is>
      </c>
      <c r="S3" s="25" t="n">
        <v>3</v>
      </c>
    </row>
    <row r="4" ht="57.75" customHeight="1" s="26">
      <c r="A4" s="28" t="n">
        <v>3</v>
      </c>
      <c r="B4" s="29" t="inlineStr">
        <is>
          <t>Week 1</t>
        </is>
      </c>
      <c r="C4" s="33" t="inlineStr">
        <is>
          <t>Medium</t>
        </is>
      </c>
      <c r="D4" s="29" t="inlineStr">
        <is>
          <t>CIA Triad</t>
        </is>
      </c>
      <c r="E4" s="29" t="inlineStr">
        <is>
          <t>Which property of the CIA triad does a denial-of-service attack primarily target?</t>
        </is>
      </c>
      <c r="F4" s="29" t="inlineStr">
        <is>
          <t>Availability; DoS denies access to services</t>
        </is>
      </c>
      <c r="G4" s="29" t="inlineStr">
        <is>
          <t>No</t>
        </is>
      </c>
      <c r="H4" s="31" t="inlineStr">
        <is>
          <t>Availability.</t>
        </is>
      </c>
      <c r="I4" s="31" t="n">
        <v>3</v>
      </c>
      <c r="J4" s="31" t="n">
        <v>5</v>
      </c>
      <c r="K4" s="31" t="n">
        <v>5</v>
      </c>
      <c r="L4" s="31" t="n">
        <v>4</v>
      </c>
      <c r="M4" s="31" t="n">
        <v>38.06</v>
      </c>
      <c r="N4" s="31" t="inlineStr">
        <is>
          <t>Medium</t>
        </is>
      </c>
      <c r="O4" s="31" t="inlineStr">
        <is>
          <t>N</t>
        </is>
      </c>
      <c r="P4" s="31" t="n"/>
      <c r="Q4" s="32" t="inlineStr">
        <is>
          <t>[Source 1 | Week 1 | Knowledge check PDF | quiz | dist=0.956]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2 | Week 1 | Network attacks | lecture | dist=1.003]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3 | Week 3 | Knowledge check | quiz | dist=1.15]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1 | How do we define security | lecture | dist=1.156]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5 | Week 5 | Quiz week 1-5 | quiz | dist=1.169]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t>
        </is>
      </c>
      <c r="R4" s="25" t="inlineStr">
        <is>
          <t>Medium | 1.087</t>
        </is>
      </c>
      <c r="S4" s="25" t="n">
        <v>3</v>
      </c>
    </row>
    <row r="5" ht="57.75" customHeight="1" s="26">
      <c r="A5" s="28" t="n">
        <v>4</v>
      </c>
      <c r="B5" s="29" t="inlineStr">
        <is>
          <t>Week 1</t>
        </is>
      </c>
      <c r="C5" s="33" t="inlineStr">
        <is>
          <t>Medium</t>
        </is>
      </c>
      <c r="D5" s="29" t="inlineStr">
        <is>
          <t>Security concepts</t>
        </is>
      </c>
      <c r="E5" s="29" t="inlineStr">
        <is>
          <t>What is the difference between a threat and a vulnerability?</t>
        </is>
      </c>
      <c r="F5" s="29" t="inlineStr">
        <is>
          <t>Threat = potential harm/attacker; Vulnerability = exploitable weakness</t>
        </is>
      </c>
      <c r="G5" s="29" t="inlineStr">
        <is>
          <t>No</t>
        </is>
      </c>
      <c r="H5" s="31" t="inlineStr">
        <is>
          <t>Based on the course material provided, I would answer the question as follows:
A threat and a vulnerability are related but distinct concepts in the context of network security.
A threat refers to a possible attack or malicious activity that targets a network or system. It involves an adversary, such as a hacker or a malicious actor, who seeks to exploit a vulnerability in order to gain unauthorized access or disrupt the system. An example of a threat is the attacker Mallory in the diagram provided in the first week of material.
A vulnerability, on the other hand, refers to a weakness or a flaw in a system or network that can be exploited by an attacker to gain unauthorized access or disrupt the system. Vulnerabilities can arise from various sources, including software bugs, misconfigured systems, or poor security practices.
To illustrate the difference, consider the example of a network system with a vulnerability in its password authentication mechanism. An attacker (threat) can exploit this vulnerability by guessing or cracking the password, thereby gaining unauthorized access to the system. In this case, the password authentication mechanism is the vulnerability that the threat exploits.
The course material provides a threat model that considers three key components: who or what is being protected (asset), who or what is attacking (threat), and what are the attacker's powers. This highlights the importance of understanding threats and vulnerabilities in order to develop effective security measures.
Drawing from weeks [1 and 5].</t>
        </is>
      </c>
      <c r="I5" s="31" t="n">
        <v>5</v>
      </c>
      <c r="J5" s="31" t="n">
        <v>2</v>
      </c>
      <c r="K5" s="31" t="n">
        <v>5</v>
      </c>
      <c r="L5" s="31" t="n">
        <v>1</v>
      </c>
      <c r="M5" s="31" t="n">
        <v>26.08</v>
      </c>
      <c r="N5" s="31" t="inlineStr">
        <is>
          <t>Low</t>
        </is>
      </c>
      <c r="O5" s="31" t="inlineStr">
        <is>
          <t>N</t>
        </is>
      </c>
      <c r="P5" s="31" t="inlineStr">
        <is>
          <t>M4 1/5: retrieved chunks largely off-topic for this question; M2 2/5: answer asserts more than the retrieved chunks support; Under-confident: Low band on a 5/5 answer (mean distance 1.29 above the 1.1 cut-off).</t>
        </is>
      </c>
      <c r="Q5" s="32" t="inlineStr">
        <is>
          <t>[Source 1 | Week 1 | How do we define security | lecture | dist=1.16]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2 | Week 1 | Knowledge check | quiz | dist=1.243]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1 | Network attacks | lecture | dist=1.261]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1 | Knowledge check PDF | quiz | dist=1.384]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5 | Week 1 | This week’s webinar | webinar | dist=1.403]
1.12 This week’s webinar This webinar takes place on [Date] [Month] at XX:XX (UK time).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or want to add to your own answer, you can check the relevant section of the weekly content. What is the difference between a security policy and a security mechanism? Think about the concepts of LAN, MAN and WAN. Can you give an example for each of them? Scenario: I am a security analyst and my job is to protect a network infrastructure against possible disruptions. What is the security principle I am trying to guarantee? What is the network attack that I need to prevent? Knowing the OSI model is essential to understand network security attacks. In fact, many attacks exploit more than one layer of the OSI model. Can you describe the first four layers and their characteristics?</t>
        </is>
      </c>
      <c r="R5" s="25" t="inlineStr">
        <is>
          <t>Low | 1.29</t>
        </is>
      </c>
      <c r="S5" s="25" t="n">
        <v>3</v>
      </c>
    </row>
    <row r="6" ht="57.75" customHeight="1" s="26">
      <c r="A6" s="28" t="n">
        <v>5</v>
      </c>
      <c r="B6" s="29" t="inlineStr">
        <is>
          <t>Week 1</t>
        </is>
      </c>
      <c r="C6" s="33" t="inlineStr">
        <is>
          <t>Medium</t>
        </is>
      </c>
      <c r="D6" s="29" t="inlineStr">
        <is>
          <t>Network attacks</t>
        </is>
      </c>
      <c r="E6" s="29" t="inlineStr">
        <is>
          <t>What is the difference between active and passive attacks?</t>
        </is>
      </c>
      <c r="F6" s="29" t="inlineStr">
        <is>
          <t>Passive = eavesdrop/monitor; Active = modify/inject data</t>
        </is>
      </c>
      <c r="G6" s="29" t="inlineStr">
        <is>
          <t>No</t>
        </is>
      </c>
      <c r="H6" s="31" t="inlineStr">
        <is>
          <t>Active attacks are those that involve taking direct action to disrupt, intercept, or manipulate communications. This includes activities such as spoofing, ARP poisoning, and session hijacking, where the attacker actively inserts false data or modifies existing data.
In contrast, passive attacks involve observing communications without taking any direct action. Examples include sniffing, where an attacker captures and reads network traffic without modifying it.</t>
        </is>
      </c>
      <c r="I6" s="31" t="n">
        <v>5</v>
      </c>
      <c r="J6" s="31" t="n">
        <v>4</v>
      </c>
      <c r="K6" s="31" t="n">
        <v>5</v>
      </c>
      <c r="L6" s="31" t="n">
        <v>4</v>
      </c>
      <c r="M6" s="31" t="n">
        <v>37.83</v>
      </c>
      <c r="N6" s="31" t="inlineStr">
        <is>
          <t>Low</t>
        </is>
      </c>
      <c r="O6" s="31" t="inlineStr">
        <is>
          <t>N</t>
        </is>
      </c>
      <c r="P6" s="31" t="inlineStr">
        <is>
          <t>Under-confident: Low band on a 5/5 answer (mean distance 1.28 above the 1.1 cut-off).</t>
        </is>
      </c>
      <c r="Q6" s="32" t="inlineStr">
        <is>
          <t>[Source 1 | Week 5 | Quiz week 1-5 | quiz | dist=1.208]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2 | Week 5 | 3.16 Quiz week 1-3  Attempt review   KEATS | quiz | dist=1.258]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[Source 3 | Week 1 | Knowledge check | quiz | dist=1.273]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4 | Week 3 | Knowledge Check  Attempt review   KEATS | quiz | dist=1.326]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1 | Network attacks | lecture | dist=1.336]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is>
      </c>
      <c r="R6" s="25" t="inlineStr">
        <is>
          <t>Low | 1.28</t>
        </is>
      </c>
      <c r="S6" s="25" t="n">
        <v>3</v>
      </c>
    </row>
    <row r="7" ht="57.75" customHeight="1" s="26">
      <c r="A7" s="28" t="n">
        <v>6</v>
      </c>
      <c r="B7" s="29" t="inlineStr">
        <is>
          <t>Week 1</t>
        </is>
      </c>
      <c r="C7" s="33" t="inlineStr">
        <is>
          <t>Medium</t>
        </is>
      </c>
      <c r="D7" s="29" t="inlineStr">
        <is>
          <t>Security concepts</t>
        </is>
      </c>
      <c r="E7" s="29" t="inlineStr">
        <is>
          <t>What is non-repudiation?</t>
        </is>
      </c>
      <c r="F7" s="29" t="inlineStr">
        <is>
          <t>Prevents a party denying they sent/received a message; proof of origin</t>
        </is>
      </c>
      <c r="G7" s="29" t="inlineStr">
        <is>
          <t>No</t>
        </is>
      </c>
      <c r="H7" s="31" t="inlineStr">
        <is>
          <t>Non-repudiation refers to a security mechanism that ensures a sender of a message cannot subsequently deny having sent it. This is typically achieved through the use of digital signatures, where the sender's identity is linked to the message, making it possible to verify the authenticity and integrity of the message.
The concept of non-repudiation is not explicitly mentioned in the provided course material. However, digital signatures, which enable non-repudiation, are mentioned in the Week 1 Knowledge check (Source 5) as a security-related transformation on the information to be sent, which is part of the security mechanism.</t>
        </is>
      </c>
      <c r="I7" s="31" t="n">
        <v>5</v>
      </c>
      <c r="J7" s="31" t="n">
        <v>2</v>
      </c>
      <c r="K7" s="31" t="n">
        <v>5</v>
      </c>
      <c r="L7" s="31" t="n">
        <v>2</v>
      </c>
      <c r="M7" s="31" t="n">
        <v>32</v>
      </c>
      <c r="N7" s="31" t="inlineStr">
        <is>
          <t>Low</t>
        </is>
      </c>
      <c r="O7" s="31" t="inlineStr">
        <is>
          <t>N</t>
        </is>
      </c>
      <c r="P7" s="31" t="inlineStr">
        <is>
          <t>M4 2/5: retrieved chunks largely off-topic for this question; M2 2/5: answer asserts more than the retrieved chunks support; Under-confident: Low band on a 5/5 answer (mean distance 1.572 above the 1.1 cut-off).</t>
        </is>
      </c>
      <c r="Q7" s="32" t="inlineStr">
        <is>
          <t>[Source 1 | Week 1 | Knowledge check | quiz | dist=1.462]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2 | Week 1 | How do we define security | lecture | dist=1.513]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or discouraging unauthorised people from attempting to gain access to your facility – and, in our case, to our network – by implementing measures that unauthorised people perceive as too difficult or needing special tools and training to defeat (eg firewalls, cryptography, etc). [Card vertical (no image)] Detect Detecting unauthorised access as early as possible and implementing measures to work out whether an unauthorised action is occurring or has occurred (eg intrusion detection systems). [Card vertical (no image)] Deny Preventing unauthorised access by implementing measures to block unauthorised access (eg firewalls). The above three are most important types of security mechanisms, but there are other strategies such as delaying unauthorised users once they compromise the network, recovering after an attack by taking remedial steps, and insuring by passing the consequences of risk to someone else. There are many mechanisms you may choose to employ. Here are some examples. Identification of principals: requiring usernames to identify users. Authentication: password checks to ensure a user is who they claim to be. Authorisation: enforcing a policy of limiting access to a resource to only those users who are authorised. Physical protection: locks, swipe cards and enclosures. Encryption and decryption algorithms: transforming between plaintext and ciphertext using keys. Economics: a common assumption from economics is that adversaries are rational and self-interested. For example, if emails are associated with a cost, we will have less spam as the spammer will not want to lose money. Deception: getting an adversary to reveal themselves by using honeypots on extremely vulnerable servers, which are deployed as ‘weak entities’, to see who will attack and how they will attack. Lessons learned from honeypot can be used to protect production servers. Randomness, unpredictability: not using common words for passwords. Traffic padding: inserting bits into gaps in a data stream to frustrate traffic analysis. Notarisation: using a trusted third party to assure certain properties of data exchange. Security audit trail: collecting and potentially using data to facilitate a security audit. Security recovery: dealing with requests from security mechanisms – such as event handling and management functions – and taking recovery actions. Are there any other mechanisms you know of? Share them in this week’s general discussion forum.
[Source 3 | Week 5 | Types of firewalls – part 2 | lecture | dist=1.604]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4 | Week 5 | Types of firewalls – part 2 | lecture | dist=1.623]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5 | Week 1 | Knowledge check PDF | quiz | dist=1.656]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t>
        </is>
      </c>
      <c r="R7" s="25" t="inlineStr">
        <is>
          <t>Low | 1.572</t>
        </is>
      </c>
      <c r="S7" s="25" t="n">
        <v>2</v>
      </c>
    </row>
    <row r="8" ht="57.75" customHeight="1" s="26">
      <c r="A8" s="28" t="n">
        <v>7</v>
      </c>
      <c r="B8" s="29" t="inlineStr">
        <is>
          <t>Week 1</t>
        </is>
      </c>
      <c r="C8" s="33" t="inlineStr">
        <is>
          <t>Medium</t>
        </is>
      </c>
      <c r="D8" s="29" t="inlineStr">
        <is>
          <t>Network attacks</t>
        </is>
      </c>
      <c r="E8" s="29" t="inlineStr">
        <is>
          <t>What is a replay attack?</t>
        </is>
      </c>
      <c r="F8" s="29" t="inlineStr">
        <is>
          <t>Captured valid data retransmitted to gain access or repeat an action</t>
        </is>
      </c>
      <c r="G8" s="29" t="inlineStr">
        <is>
          <t>No</t>
        </is>
      </c>
      <c r="H8" s="31" t="inlineStr">
        <is>
          <t>A replay attack is an active technique for intercepting traffic, involving the passive capture of a data unit and its subsequent transmission to produce an unauthorized effect.</t>
        </is>
      </c>
      <c r="I8" s="31" t="n">
        <v>4</v>
      </c>
      <c r="J8" s="31" t="n">
        <v>5</v>
      </c>
      <c r="K8" s="31" t="n">
        <v>5</v>
      </c>
      <c r="L8" s="31" t="n">
        <v>2</v>
      </c>
      <c r="M8" s="31" t="n">
        <v>24.64</v>
      </c>
      <c r="N8" s="31" t="inlineStr">
        <is>
          <t>Low</t>
        </is>
      </c>
      <c r="O8" s="31" t="inlineStr">
        <is>
          <t>N</t>
        </is>
      </c>
      <c r="P8" s="31" t="inlineStr">
        <is>
          <t>M4 2/5: retrieved chunks largely off-topic for this question; Under-confident: Low band on a 4/5 answer (mean distance 1.103 above the 1.1 cut-off).</t>
        </is>
      </c>
      <c r="Q8" s="32" t="inlineStr">
        <is>
          <t>[Source 1 | Week 3 | ARP protocol and ARP spoofing | lecture | dist=1.021]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2 | Week 1 | Knowledge check PDF | quiz | dist=1.034]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3 | Knowledge check | quiz | dist=1.09]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5 | Types of firewalls – part 1 | lecture | dist=1.157]
second attack is called the tiny fragment attack. The idea is to split the header info over several tiny packets. The attacker uses the IP fragmentation option to create extremely small fragments and force the TCP header information into a separate packet fragment. This attack is designed to circumvent filtering rules that depend on TCP header information. Typically, a packet filter will make a filtering decision on the first fragment of a packet. All subsequent fragments of that packet are filtered out solely on the basis that they are part of a packet whose first fragment was rejected. The attacker hopes that the filtering firewall examines only the first fragment and that the remaining fragments are passed through. What is the countermeasure to this attack? [View answer (no academic)] View answer The solution is to either discard or reassemble the packets before checking. A tiny fragment attack can be defeated by enforcing a rule that the first fragment of a packet must contain a predefined minimum amount of the transport header. If the first fragment is rejected, then the filter can remember the packet and discard all subsequent fragments.
[Source 5 | Week 1 | Network attacks | lecture | dist=1.213]
1.7 Network attacks Each layer and protocol expose information and functionality. Seemingly secure functionality at one layer could enable attacks at another; sophisticated attacks often exploit multiple layers. Let’s look at some examples. Jamming [Float box (with image-left)] A jamming attack is an attack in which malicious nodes block legitimate communication by causing intentional interference in networks. The link layer is typically broadcast-based and only one user can talk at a time. The jamming attack works by hogging the broadcast medium so no one can talk. It’s done most easily on ethernet or Wi-Fi. Pictured here is a portable jammer. It works for Wi-Fi and 3G/4G networks. It has a range of about 5–20 meters, and costs between £100 and £200. Alt: A portable jammer.. It has a rectabgular metal body and eight antenna. Caption: [(Optional) caption text] Sniffing A sniffing attack, or a sniffer attack, is a theft or interception of data. It works by capturing the network traffic using a sniffer, which is an application aimed at capturing network packets. When data are transmitted across networks, if the data packets are not encrypted, the data within the network packet can be read using a sniffer. Using a sniffer application, an attacker can analyse the network and gain information to eventually cause the network to crash, to become corrupted or to read the communications happening across the network. You may have seen in some movies, law agencies and criminals bug telephone lines to listen in on calls that a person receives in order to gather information. This is a perfect example of a sniffing attack. This technology can be used to test the telephone lines and determine the quality of the call, but criminals used it for their own illegitimate purposes. Entry ID: 1_vnjm4kef (LD: only if video is KD-produced, not needed for 3rd party videos) Sniffing Dr Diego Sempreboni Research Associate View transcript Dr Diego Sempreboni | Research Associate &lt;p&gt;&lt;strong&gt;Dr Diego Sempreboni&lt;/strong&gt;: Hi, in this video we are going to take a look at a network attack called ‘sniffing’, which is a theft or interception of data.&lt;/p&gt; &lt;p&gt;We are going to have a look at an example from &lt;em&gt;Mr Robot&lt;/em&gt;. This clip from &lt;em&gt;Mr Robot&lt;/em&gt;, season 1, episode 6, shows us a sniffing attack. Let's give a look at it.&lt;p&gt; &lt;p&gt;[From the clip, Elliot speaking:] 'I need 30 to 40 seconds from the patrol car’s Bluetooth connection to run the exploit on the PLC'. [Elliott is sitting in a car parked close to the police patrol car.]&lt;/p&gt; &lt;p&gt;&lt;strong&gt;DS&lt;/strong&gt;: Elliot, the hacker that is talking, aims to get into the police network infrastructure through the laptop in the patrol car in order to upload a malicious code. [Elliott is shown inserting a ‘MultiBlue Dongle’ into his laptop.] In order to get access to the police infrastructure, he is performing a sniffing attack on the Bluetooth network that the patrol's laptop has.&lt;/p&gt; &lt;p&gt;[On screen: three terminal windows are shown on a computer screen.] Here, it is possible to see three</t>
        </is>
      </c>
      <c r="R8" s="25" t="inlineStr">
        <is>
          <t>Low | 1.103</t>
        </is>
      </c>
      <c r="S8" s="25" t="n">
        <v>3</v>
      </c>
    </row>
    <row r="9" ht="57.75" customHeight="1" s="26">
      <c r="A9" s="28" t="n">
        <v>8</v>
      </c>
      <c r="B9" s="29" t="inlineStr">
        <is>
          <t>Week 1</t>
        </is>
      </c>
      <c r="C9" s="34" t="inlineStr">
        <is>
          <t>Hard</t>
        </is>
      </c>
      <c r="D9" s="29" t="inlineStr">
        <is>
          <t>Network structure</t>
        </is>
      </c>
      <c r="E9" s="29" t="inlineStr">
        <is>
          <t>At which OSI layer does ARP operate and why?</t>
        </is>
      </c>
      <c r="F9" s="29" t="inlineStr">
        <is>
          <t>Layer 2 data link; maps L3 IP to L2 MAC addresses</t>
        </is>
      </c>
      <c r="G9" s="29" t="inlineStr">
        <is>
          <t>No</t>
        </is>
      </c>
      <c r="H9" s="31" t="inlineStr">
        <is>
          <t>ARP operates at the Data Link layer of the OSI model. This is because ARP is used to resolve IP addresses to MAC addresses, and the Data Link layer is responsible for managing data transmission between devices on the same network, which is exactly what ARP does. 
As we see in Source 2 (Week 3 | ARP protocol and ARP spoofing), ARP is used to resolve the physical address of a target machine, which involves sending a message to the target's MAC address. This process is performed on the link layer because it involves the exchange of frames between devices on the same network.
Moreover, the Data Link layer is the layer that deals with the physical addressing of devices, which is exactly what ARP does when it looks up the MAC address corresponding to a given IP address.</t>
        </is>
      </c>
      <c r="I9" s="31" t="n">
        <v>5</v>
      </c>
      <c r="J9" s="31" t="n">
        <v>4</v>
      </c>
      <c r="K9" s="31" t="n">
        <v>5</v>
      </c>
      <c r="L9" s="31" t="n">
        <v>4</v>
      </c>
      <c r="M9" s="31" t="n">
        <v>32.97</v>
      </c>
      <c r="N9" s="31" t="inlineStr">
        <is>
          <t>Medium</t>
        </is>
      </c>
      <c r="O9" s="31" t="inlineStr">
        <is>
          <t>N</t>
        </is>
      </c>
      <c r="P9" s="31" t="n"/>
      <c r="Q9" s="32" t="inlineStr">
        <is>
          <t>[Source 1 | Week 3 | ARP protocol and ARP spoofing | lecture | dist=0.804]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dist=0.805]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1 | Network structure | lecture | dist=0.875]
1.6 Network structure 1. OSI model and basics of network terminology The Open Systems Interconnection (OSI) reference model is a conceptual framework that describes functions of the networking or telecommunication system independently from the underlying technology infrastructure. It divides data communication into seven abstraction layers and provides a structured framework to which protocols are mapped based on the roles they perform to ensure interoperability within the communication system regardless of the technology type, vendor and model. [Graphic – full-width] Figure: A diagram showing the seven layers of the OSI model. See the description below. Caption: [View description] View description The seven layers of the OSI model include: Physical (physical structure) – coax, fibre, wireless, hubs, repeaters. Data link (frames) – Ethernet, PPP, switch, bridge. Network (packets) – IP, ICMP, IPSec, IGMP. Transport (end-to-end connections) – TCP, UDP. Session (sync &amp; send to port) – APIs, sockets, WinSock. Presentation (syntax layer) – SSL, SSH, IMAP, FTP, MPEG, JPEG. Application (end used layer) – HTTP, FTP, IRC, SSH, DNS. The arrow pointing top down represents that the data are processed and sent to the network through the OSI model. The arrow pointing bottom up represents that the received data from the network is processed and passed back to application. Each layer serves the layer above it and is served by the layer below it. We will look at the first four in some detail, but you can read an explanation of all the layers here. [Card vertical (no image)] Physical layer The lowest layer of the OSI model, the physical layer, is concerned with data communication in the form of electrical, optic or electromagnetic signals physically transmitting information between networking devices and infrastructure. The physical layer is responsible for the communication of unstructured raw data streams over a physical medium. It defines a range of aspects, including: Electrical, mechanical and physical systems and networking devices that include specifications such as cable size, signal frequency, voltages, etc. Hardware including networking devices, antennas, cables, modem, and intermediate devices such as repeaters and hubs. [Card vertical (no image)] Data link The second layer of the OSI model, the data link, concerns data transmission between the nodes within a network and manages the connections between physically connected devices such as switches. The raw data received from the physical layer are synchronised and packaged into data frames that contain the necessary protocols to route information between appropriate nodes. [Card vertical (no image)] Network layer The third layer, the network layer, of the OSI model, the network layer, organises and transmits data packets between multiple networks. The network layer is responsible for routing the data via the best physical path based on a range of factors including network characteristics, best available path, traffic controls, congestion of data packets and priority of service, among others. The network layer implements logical addressing for data packets to distinguish between the source and destination networks. Network layer hardware includes routers. [Card vertical (no image)] Transport layer The fourth layer of the OSI
[Source 4 | Week 2 | Demo network commands | lecture | dist=1.036]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1 | Network structure | lecture | dist=1.107]
characteristics, best available path, traffic controls, congestion of data packets and priority of service, among others. The network layer implements logical addressing for data packets to distinguish between the source and destination networks. Network layer hardware includes routers. [Card vertical (no image)] Transport layer The fourth layer of the OSI model, the transport layer, ensures complete and reliable delivery of data packets. The transport layer provides mechanisms such as error control, flow control and congestion control to keep track of the data packets, checking for errors and duplication, and resending the information that fails delivery. We can think of the transport layer as an ‘end-to-end’ pipe for bits (the smallest units of digital data), from sender to receiver. It usually provides certain functionality, including: error correction to ensure reliability ensuring the correct ordering of data, typically first-in-first-out (FIFO), where data are delivered in the order they were sent to the receiver dealing with network effects such as congestion. Additionally, the packet segmentation and reassembly ensure that the data are divided and sequentially sent to the destination where they are rechecked for integrity and accuracy based on the receiving sequence. Common protocols that operate in the transport layer include the Transmission Control Protocol (TCP) for connection-oriented data transmission and User Datagram Protocol (UDP) for connectionless data transmission. UDP is faster than TCP; however, UDP is less secure in terms of delivery of the packets, as some packets can be lost. During this module, we are also going to see some protocols that belong to level six and seven, such as SSL/TLS and DNS. The OSI model will be used throughout this module so make sure to familiarise yourself with it. You should be able to replicate the diagram and brief explanation of the layers from memory. The general model of a link layer, whether wired or wireless, is as a broadcast medium. This common ‘medium’ is easily accessed by anyone, leading to simple attacks. [Graphic – full-width] Figure: A diagram of a local area network showing several workstations, laptops, a printer and a server all connected to the same wire representing the link layer. Caption: The picture here depicts a portion of a local area network (LAN). [Definition box] Local-area network (LAN) A computer network that spans a relatively small area. Most often a LAN is confined to a single room, building or group of buildings. The job of the data link layer is to take packets from the network layer and break them into smaller pieces called frames, rerouting them to their destination within the LAN. To route between different LANs, we need the network layer. Some information needs to be shared to find the correct route, but network operators want to keep private data private. The network layer can be represented by a metropolitan-area network (MAN) or by a wide-area network (WAN). [Definition box] Metropolitan-area network (MAN) A computer network that interconnects users with computer resources in a geographic region of the size of a metropolitan area. The term</t>
        </is>
      </c>
      <c r="R9" s="25" t="inlineStr">
        <is>
          <t>Medium | 0.925</t>
        </is>
      </c>
      <c r="S9" s="25" t="n">
        <v>3</v>
      </c>
    </row>
    <row r="10" ht="57.75" customHeight="1" s="26">
      <c r="A10" s="28" t="n">
        <v>9</v>
      </c>
      <c r="B10" s="29" t="inlineStr">
        <is>
          <t>Week 1</t>
        </is>
      </c>
      <c r="C10" s="34" t="inlineStr">
        <is>
          <t>Hard</t>
        </is>
      </c>
      <c r="D10" s="29" t="inlineStr">
        <is>
          <t>Network attacks</t>
        </is>
      </c>
      <c r="E10" s="29" t="inlineStr">
        <is>
          <t>Name three categories of network attacks and give an example of each.</t>
        </is>
      </c>
      <c r="F10" s="29" t="inlineStr">
        <is>
          <t>Three of: DoS, spoofing, hijacking, poisoning, scanning + examples</t>
        </is>
      </c>
      <c r="G10" s="29" t="inlineStr">
        <is>
          <t>No</t>
        </is>
      </c>
      <c r="H10" s="31" t="inlineStr">
        <is>
          <t>Three categories of network attacks are:
1. Denial of Service (DoS) attacks, which aim to prevent legitimate users from accessing a system or network. An example of this is a SYN flooding attack, which can be used to overwhelm a server with a large number of SYN requests, preventing it from establishing new connections. (Source 4 [Week 3 | TCP SYN flooding attacks (lecture)])
2. Spoofing attacks, which involve pretending to be someone or something else on a network. A DNS poisoning attack is an example of this, where an attacker tricks a DNS server into updating its cache with false information, allowing the attacker to intercept traffic intended for the legitimate owner of the domain name. (Source 3 [Week 4 | Overview and learning outcomes (overview)])
3. Distributed Denial of Service (DDoS) attacks, which are a type of DoS attack that involves coordinating multiple compromised devices to overwhelm a system or network. An example of this is a botnet, a collection of infected devices that can be controlled by a single entity to carry out DDoS attacks and other malicious activities. (Source 1 [Week 3 | Knowledge check (quiz)] and Source 4 [Week 3 | TCP SYN flooding attacks (lecture)])</t>
        </is>
      </c>
      <c r="I10" s="31" t="n">
        <v>2</v>
      </c>
      <c r="J10" s="31" t="n">
        <v>3</v>
      </c>
      <c r="K10" s="31" t="n">
        <v>5</v>
      </c>
      <c r="L10" s="31" t="n">
        <v>4</v>
      </c>
      <c r="M10" s="31" t="n">
        <v>22.93</v>
      </c>
      <c r="N10" s="31" t="inlineStr">
        <is>
          <t>Medium</t>
        </is>
      </c>
      <c r="O10" s="31" t="inlineStr">
        <is>
          <t>N</t>
        </is>
      </c>
      <c r="P10" s="31" t="inlineStr">
        <is>
          <t>M1 2/5: misses or contradicts the must-include concepts.</t>
        </is>
      </c>
      <c r="Q10" s="32" t="inlineStr">
        <is>
          <t>[Source 1 | Week 3 | Knowledge check | quiz | dist=0.843]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1 | Knowledge check | quiz | dist=0.884]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4 | Overview and learning outcomes | overview | dist=0.917]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4 | Week 3 | TCP SYN flooding attacks | lecture | dist=0.926]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5 | Week 2 | Overview and learning outcomes | overview | dist=0.934]
2.1 Overview and learning outcomes Welcome to week 2 of the Network Security module. This week, you will be able to get acquainted with some attacks on layer 1 and layer 2 of the network structure, and reason on traffic analysis techniques. [Learning outcome box] Learning outcomes By the end of this week, you should be able to: Describe the attacks at layer 1 and 2 of the OSI model. Describe the traffic analysis techniques.</t>
        </is>
      </c>
      <c r="R10" s="25" t="inlineStr">
        <is>
          <t>Medium | 0.901</t>
        </is>
      </c>
      <c r="S10" s="25" t="n">
        <v>3</v>
      </c>
    </row>
    <row r="11" ht="57.75" customHeight="1" s="26">
      <c r="A11" s="28" t="n">
        <v>10</v>
      </c>
      <c r="B11" s="29" t="inlineStr">
        <is>
          <t>Week 1</t>
        </is>
      </c>
      <c r="C11" s="34" t="inlineStr">
        <is>
          <t>Hard</t>
        </is>
      </c>
      <c r="D11" s="29" t="inlineStr">
        <is>
          <t>CIA Triad</t>
        </is>
      </c>
      <c r="E11" s="29" t="inlineStr">
        <is>
          <t>Explain how one CIA property can be violated while another remains intact, with an example.</t>
        </is>
      </c>
      <c r="F11" s="29" t="inlineStr">
        <is>
          <t>e.g. eavesdropping breaks confidentiality but not integrity/availability</t>
        </is>
      </c>
      <c r="G11" s="29" t="inlineStr">
        <is>
          <t>No</t>
        </is>
      </c>
      <c r="H11" s="31" t="inlineStr">
        <is>
          <t>Confidentiality guarantees that private or confidential information is not disclosed to unauthorized individuals. Integrity, on the other hand, ensures that information and programs are changed only in a specified and authorized manner (Source 4 | Week 1 | How do we define security). 
A possible example of how one CIA property can be violated while the other remains intact is a scenario where a company has a strong encryption policy in place (ensuring confidentiality), but somehow, their database is compromised by malware, and its contents are manipulated without authorization, violating the integrity of the database (Source 4 | Week 1 | How do we define security).</t>
        </is>
      </c>
      <c r="I11" s="31" t="n">
        <v>4</v>
      </c>
      <c r="J11" s="31" t="n">
        <v>2</v>
      </c>
      <c r="K11" s="31" t="n">
        <v>5</v>
      </c>
      <c r="L11" s="31" t="n">
        <v>4</v>
      </c>
      <c r="M11" s="31" t="n">
        <v>33.72</v>
      </c>
      <c r="N11" s="31" t="inlineStr">
        <is>
          <t>Low</t>
        </is>
      </c>
      <c r="O11" s="31" t="inlineStr">
        <is>
          <t>N</t>
        </is>
      </c>
      <c r="P11" s="31" t="inlineStr">
        <is>
          <t>M2 2/5: answer asserts more than the retrieved chunks support; Under-confident: Low band on a 4/5 answer (mean distance 1.315 above the 1.1 cut-off).</t>
        </is>
      </c>
      <c r="Q11" s="32" t="inlineStr">
        <is>
          <t>[Source 1 | Week 1 | Network attacks | lecture | dist=1.125]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2 | Week 1 | Knowledge check PDF | quiz | dist=1.231]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1 | Knowledge check | quiz | dist=1.349]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4 | Week 1 | How do we define security | lecture | dist=1.365]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5 | Week 2 | Data interception | lecture | dist=1.504]
2.5 Data interception In this lesson, we’ll look at data interception and traffic analysis. It is possible to highlight three types of traffic analysis: protocol analysis, packet analysis and flow analysis. Let's see the protocol analysis first. Protocol analysis To start analysing traffic, first, we need to understand protocols. [Definition box] Protocol A set of rules or instructions that determine how ‘actors’ act or interact in a given situation. Examples include: a recipe for making a cake the procedure for boarding a plane the steps for buying a movie ticket. A communication protocol is a system of rules that allow two or more entities of a communication system to transmit information. Once in possession of the information, we might want to understand the semantics of the information being transmitted in order to interpret it. From a security point of view, analysing protocols might allow the discovery of potential vulnerabilities that an attacker can use. There are a large number of different network protocols such as IP, TCP, UDP, HTTP, HTTPS, SMTP and others. The specification of many of them is public, but some are proprietary and may need specialist tools or reverse engineering to access. We need the protocol to understand the semantics of the information being transmitted in order to interpret it. Support for public protocols is usually implemented in tools like Wireshark, which shows headers, flags and content in a more user-friendly and navigable way. Once we have decided that we are interested in a specific protocol, we can capture all the packets that belong to that specific protocol and begin a more fine-grained analysis: packet analysis. Packet analysis Network professionals use packet analysis to monitor the health of a network; security professionals use it to conduct passive network vulnerability assessments. Passive, in this context, means inspection without altering the contents. On the other hand, attackers can use the same techniques and tools to steal information such as passwords. However, in packet analysis, the word ‘packet’ is misleading. What is actually captured and analysed are the frames. Frames are what carry packets in a local network, so during packet analysis, frames are always mentioned and frame details are always provided in addition to the packet payload. This diagram below shows the relationship between data, packets and frames: [Graphic – full-width] Figure: View description below. Caption: [View description] View description A diagram showing that at the transport layer (OSI layer 4), data are contained within TCP segments which carry the TCP protocol and port number. Segments are then contained in IP packets at the network layer (OSI layer 3) which hold the sender and receiver IP addresses. Finally, packets are contained in Ethernet frames at the data link layer (OSI layer 2) which hold the sender and receiver MAC addresses and end with a Frame Check Sequence (FCS) for error detection. There are several techniques that we can use to analyse the packets we collected. Pattern matching: identify packets of interest by matching specific values within the packet capture.</t>
        </is>
      </c>
      <c r="R11" s="25" t="inlineStr">
        <is>
          <t>Low | 1.315</t>
        </is>
      </c>
      <c r="S11" s="25" t="n">
        <v>2</v>
      </c>
    </row>
    <row r="12" ht="57.75" customHeight="1" s="26">
      <c r="A12" s="35" t="n">
        <v>11</v>
      </c>
      <c r="B12" s="36" t="inlineStr">
        <is>
          <t>Week 2</t>
        </is>
      </c>
      <c r="C12" s="30" t="inlineStr">
        <is>
          <t>Easy</t>
        </is>
      </c>
      <c r="D12" s="36" t="inlineStr">
        <is>
          <t>ARP protocol</t>
        </is>
      </c>
      <c r="E12" s="36" t="inlineStr">
        <is>
          <t>What does ARP stand for and what is its purpose?</t>
        </is>
      </c>
      <c r="F12" s="36" t="inlineStr">
        <is>
          <t>Address Resolution Protocol; maps IP to MAC on local network</t>
        </is>
      </c>
      <c r="G12" s="36" t="inlineStr">
        <is>
          <t>No</t>
        </is>
      </c>
      <c r="H12" s="31" t="inlineStr">
        <is>
          <t>ARP stands for Address Resolution Protocol. Its purpose is a communication protocol used for discovering the MAC Address associated with a given IP Address.
This information is drawn from [Source 1 | Week 3 | ARP protocol and ARP spoofing (lecture)] and [Source 2 | Week 3 | ARP protocol and ARP spoofing (lecture)].</t>
        </is>
      </c>
      <c r="I12" s="31" t="n">
        <v>5</v>
      </c>
      <c r="J12" s="31" t="n">
        <v>5</v>
      </c>
      <c r="K12" s="31" t="n">
        <v>5</v>
      </c>
      <c r="L12" s="31" t="n">
        <v>4</v>
      </c>
      <c r="M12" s="31" t="n">
        <v>34.67</v>
      </c>
      <c r="N12" s="31" t="inlineStr">
        <is>
          <t>Medium</t>
        </is>
      </c>
      <c r="O12" s="31" t="inlineStr">
        <is>
          <t>N</t>
        </is>
      </c>
      <c r="P12" s="31" t="n"/>
      <c r="Q12" s="32" t="inlineStr">
        <is>
          <t>[Source 1 | Week 3 | ARP protocol and ARP spoofing | lecture | dist=0.78]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dist=0.999]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3 | ARP protocol and ARP spoofing | lecture | dist=1.117]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Knowledge Check  Attempt review   KEATS | quiz | dist=1.16]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3 | Knowledge check | quiz | dist=1.181]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t>
        </is>
      </c>
      <c r="R12" s="25" t="inlineStr">
        <is>
          <t>Medium | 1.047</t>
        </is>
      </c>
      <c r="S12" s="25" t="n">
        <v>3</v>
      </c>
    </row>
    <row r="13" ht="57.75" customHeight="1" s="26">
      <c r="A13" s="35" t="n">
        <v>12</v>
      </c>
      <c r="B13" s="36" t="inlineStr">
        <is>
          <t>Week 2</t>
        </is>
      </c>
      <c r="C13" s="30" t="inlineStr">
        <is>
          <t>Easy</t>
        </is>
      </c>
      <c r="D13" s="36" t="inlineStr">
        <is>
          <t>ARP protocol</t>
        </is>
      </c>
      <c r="E13" s="36" t="inlineStr">
        <is>
          <t>What is stored in an ARP cache?</t>
        </is>
      </c>
      <c r="F13" s="36" t="inlineStr">
        <is>
          <t>IP-to-MAC address mappings for recently contacted hosts</t>
        </is>
      </c>
      <c r="G13" s="36" t="inlineStr">
        <is>
          <t>No</t>
        </is>
      </c>
      <c r="H13" s="31" t="inlineStr">
        <is>
          <t>An ARP cache, also known as an ARP table, stores the mapping of IP addresses to their corresponding MAC addresses. When a host sends an ARP request, it receives a response from the target host, which contains its MAC address. The received ARP reply updates the ARP cache of the requesting host, associating the IP address with the MAC address of the target host.
Since the ARP cache stores the mapping of IP addresses to MAC addresses, once a host has received an ARP reply, it no longer needs to send an ARP request packet every time it wants to communicate with that host. This is done for efficiency, and it allows the host to quickly resolve the MAC address of the target host.</t>
        </is>
      </c>
      <c r="I13" s="31" t="n">
        <v>5</v>
      </c>
      <c r="J13" s="31" t="n">
        <v>5</v>
      </c>
      <c r="K13" s="31" t="n">
        <v>5</v>
      </c>
      <c r="L13" s="31" t="n">
        <v>5</v>
      </c>
      <c r="M13" s="31" t="n">
        <v>30.82</v>
      </c>
      <c r="N13" s="31" t="inlineStr">
        <is>
          <t>Medium</t>
        </is>
      </c>
      <c r="O13" s="31" t="inlineStr">
        <is>
          <t>Y</t>
        </is>
      </c>
      <c r="P13" s="31" t="inlineStr">
        <is>
          <t>False trigger: the substring "arp cache" matched the dependency graph and probed ARP protocol, but the question does not depend on it.</t>
        </is>
      </c>
      <c r="Q13" s="32" t="inlineStr">
        <is>
          <t>[Source 1 | Week 3 | ARP protocol and ARP spoofing | lecture | dist=0.931]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5 | Quiz week 1-5 | quiz | dist=1.012]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3 | Week 3 | ARP protocol and ARP spoofing | lecture | dist=1.076]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This week’s webinar | webinar | dist=1.142]
3.13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Explain the function of ARP and RARP and why ARP results are cached. How can ARP cache be used to spoof other computers? What is the main complication of poisoning an ARP cache? How would it be possible to solve it? What are SYN flood attacks? How can IP spoofing be used to make them more effective? Explain how TCP connections are set up through a Three-Way Handshake and discuss TCP session hijacking by an on-path adversary. Explain how iterative DNS queries work and how this can be exploited to poison caches. We have seen many network attacks. You should also have found information about what a botnet is. Where would a botnet be more useful to execute an attack?
[Source 5 | Week 3 | ARP protocol and ARP spoofing | lecture | dist=1.184]
own. This is the set up for the attack. Then, when a packet comes through from A to B, it goes to the hacker on the link layer because of A’s poisoned cache. The attacker can examine this message and relay or copy it to B, pretending to be A. The same goes for messages in the reverse direction from B to A. This is the set up for the attack. Step 1 [Graphic – full-width] Note for ELVD: please could you replace T1 with A and replace T2 with B Also, same as the graphics earlier, please could you change the label below T1 from ‘ARP cache’ to ‘Computer A’s ARP cache’ and the one below T2 from ‘ARP cache’ to ‘Computer B’s ARP cache’ Figure: View description. Caption: [View description] View description Three computers connected to a switch: computer A has IP = 10.0.0.1 and MAC = aa:aa:aa:aa computer B has IP = 10.0.0.2 and MAC = bb:bb:bb:bb the hacker’s computer has IP = 10.0.0.3 and MAC = cc:cc:cc:cc. The hacker sends a spoofed ARP reply with IP = 10.0.0.2 and MAC = cc:cc:cc:cc that reaches A. Below computer A there is the label ‘Computer A’s ARP cache’ with IP=10.0.0.2 and MAC= cc:cc:cc:cc (spoofed). Below computer B there is the label ‘Computer B’s ARP cache’ with IP = 10.0.0.1 and MAC = aa:aa:aa:aa cc:cc:cc:cc (spoofed). There are arrows indicating communications between A and the hacker as well as B and the hacker. See the process below. The hacker spoofs the ARP reply and poisons the cache of A by sending a spoofed ARP reply with IP = 10.0.0.2 and MAC = cc:cc:cc:cc. Step 2 [Graphic – full-width] Figure: The hacker poisoning the cache of computer B by sending a spoofed ARP reply with IP = 10.0.0.1 and MAC = cc:cc:cc:cc to B. Caption: The hacker also poisons the cache of B using the spoofed ARP reply, this time with the IP address of A (10.0.0.1). Step 3 [Graphic – full-width] Figure: Described in the text below. Caption: The hacker now receives messages (from A) meant for B before relaying them on. Step 4 [Graphic – full-width] Figure: View the description below. Caption: The hacker also receives messages (from B) meant for A before relaying them on. [new page] 4. MAC flooding attacks Switches have an internal table called a content addressable memory (CAM) table, which maps switch ports to MAC addresses. Here is an example: 2960-1#show mac address-table Mac Address Table Vlan MAC address Type Ports 1 00ld.70ab.5d60 DYNAMIC 2 1 00le.f724.al60 DYNAMIC 3 It is possible to attack the availability of switches by attacking their CAM table. This is possible by taking advantage of ARP messages. This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t>
        </is>
      </c>
      <c r="R13" s="25" t="inlineStr">
        <is>
          <t>Medium | 1.069</t>
        </is>
      </c>
      <c r="S13" s="25" t="n">
        <v>3</v>
      </c>
    </row>
    <row r="14" ht="57.75" customHeight="1" s="26">
      <c r="A14" s="35" t="n">
        <v>13</v>
      </c>
      <c r="B14" s="36" t="inlineStr">
        <is>
          <t>Week 2</t>
        </is>
      </c>
      <c r="C14" s="30" t="inlineStr">
        <is>
          <t>Easy</t>
        </is>
      </c>
      <c r="D14" s="36" t="inlineStr">
        <is>
          <t>DHCP</t>
        </is>
      </c>
      <c r="E14" s="36" t="inlineStr">
        <is>
          <t>What is DHCP and what is its purpose?</t>
        </is>
      </c>
      <c r="F14" s="36" t="inlineStr">
        <is>
          <t>Dynamic Host Configuration Protocol; assigns IP addresses/config</t>
        </is>
      </c>
      <c r="G14" s="36" t="inlineStr">
        <is>
          <t>No</t>
        </is>
      </c>
      <c r="H14" s="31" t="inlineStr">
        <is>
          <t>DHCP stands for Dynamic Host Configuration Protocol. Its purpose is to allow a device to dynamically obtain an IP address, as well as any other configuration parameters such as subnet mask, lease duration, and IP address of the DHCP server, from a server on a network. This is achieved through a process of four messages: discovery, offer, request, and acknowledgement.
According to Source 2 | Week 3 | Study the DHCP protocol (lecture), the DHCP protocol "allows a device to dynamically obtain an IP address" which directly highlights DHCP's purpose. Source 1 | Week 3 | DHCP attacks (lecture) further explains that DHCP is used for distributing IP addresses and their configuration.</t>
        </is>
      </c>
      <c r="I14" s="31" t="n">
        <v>5</v>
      </c>
      <c r="J14" s="31" t="n">
        <v>5</v>
      </c>
      <c r="K14" s="31" t="n">
        <v>5</v>
      </c>
      <c r="L14" s="31" t="n">
        <v>4</v>
      </c>
      <c r="M14" s="31" t="n">
        <v>20.79</v>
      </c>
      <c r="N14" s="31" t="inlineStr">
        <is>
          <t>Medium</t>
        </is>
      </c>
      <c r="O14" s="31" t="inlineStr">
        <is>
          <t>N</t>
        </is>
      </c>
      <c r="P14" s="31" t="n"/>
      <c r="Q14" s="32" t="inlineStr">
        <is>
          <t>[Source 1 | Week 3 | DHCP attacks | lecture | dist=0.77]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2 | Week 3 | Study the DHCP protocol | lecture | dist=0.886]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DHCP attacks | lecture | dist=0.941]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4 | Week 3 | DHCP attacks | lecture | dist=1.028]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5 | Week 3 | ARP protocol and ARP spoofing | lecture | dist=1.167]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t>
        </is>
      </c>
      <c r="R14" s="25" t="inlineStr">
        <is>
          <t>Medium | 0.958</t>
        </is>
      </c>
      <c r="S14" s="25" t="n">
        <v>3</v>
      </c>
    </row>
    <row r="15" ht="57.75" customHeight="1" s="26">
      <c r="A15" s="35" t="n">
        <v>14</v>
      </c>
      <c r="B15" s="36" t="inlineStr">
        <is>
          <t>Week 2</t>
        </is>
      </c>
      <c r="C15" s="33" t="inlineStr">
        <is>
          <t>Medium</t>
        </is>
      </c>
      <c r="D15" s="36" t="inlineStr">
        <is>
          <t>ARP protocol</t>
        </is>
      </c>
      <c r="E15" s="36" t="inlineStr">
        <is>
          <t>Why is ARP described as a stateless protocol?</t>
        </is>
      </c>
      <c r="F15" s="36" t="inlineStr">
        <is>
          <t>Accepts/overwrites replies without a prior request; no authentication</t>
        </is>
      </c>
      <c r="G15" s="36" t="inlineStr">
        <is>
          <t>No</t>
        </is>
      </c>
      <c r="H15" s="31" t="inlineStr">
        <is>
          <t>ARP is described as a stateless protocol because it accepts ARP replies and overwrites the old ones, even if they have not expired yet or without explicit request from the protocol. This means that ARP does not have any mechanism to verify the authenticity of the replies, leading to potential issues such as ARP cache poisoning.
Source: Source 1, Week 3, ARP protocol and ARP spoofing (lecture)</t>
        </is>
      </c>
      <c r="I15" s="31" t="n">
        <v>5</v>
      </c>
      <c r="J15" s="31" t="n">
        <v>5</v>
      </c>
      <c r="K15" s="31" t="n">
        <v>5</v>
      </c>
      <c r="L15" s="31" t="n">
        <v>3</v>
      </c>
      <c r="M15" s="31" t="n">
        <v>34.69</v>
      </c>
      <c r="N15" s="31" t="inlineStr">
        <is>
          <t>Low</t>
        </is>
      </c>
      <c r="O15" s="31" t="inlineStr">
        <is>
          <t>N</t>
        </is>
      </c>
      <c r="P15" s="31" t="inlineStr">
        <is>
          <t>Under-confident: Low band on a 5/5 answer (mean distance 1.231 above the 1.1 cut-off).</t>
        </is>
      </c>
      <c r="Q15" s="32" t="inlineStr">
        <is>
          <t>[Source 1 | Week 3 | ARP protocol and ARP spoofing | lecture | dist=0.912]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dist=1.197]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1 | slides | slides | dist=1.319]
A networking example TCP/IP Protocol Architecture Dr Hannah Cao TCP/IP Protocol Architecture SMTP (Email) FTP (file transfer) SSH (remote access) HTTP (web), SIP (VoIP), DNS (name service) TCP (contention-oriented) UDP (connectionless) IP v4, IP v6, Mobile IP OSPF, BGP, RIP ARP, ICMP, CSMA/CD (Ethernet) MACAW (WiFi), PCF, DCF, 802.15.4 (IoT) Twisted pair, optical fiber, satellite, radio Modulation Router Switch PCs, tablets, smart phones etc UTP cable etc. Peer Layers in TCP/IP Protocol Architecture Application byte stream TCP/UDP segment IP packet MAC frame Physical bit stream Alice Bob Networking Example Browsing to www.kcl.ac.uk Browser established a TCP connection with www.kcl.ac.uk server Browser asked for the index webpage using HTTP command GET Browser displayed the page on the screen Sending to Network - Encapsulation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HTTP user data TCP Header HTTP user data Receiving from Network - Decapsulation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Internet IP v4: Src addr = Bob Dest addr = KCL server Network access CSMA/CD Src MAC addr =Bob Dest MAC addr = gateway face 0 Physical Twisted pair Receive from network -decapsulation Default gateway Routing and Sending to Network again Internet IP v4: Src addr = Bob Dest addr = KCL server Network access CSMA/CD Src MAC addr =Bob Dest MAC addr = gateway face 0 Physical Twisted pair Receive from network -decapsulation Default gateway Internet IP v4: Src addr = Bob Dest addr = KCL server Network access 802.11, Src MAC addr =Gateway face1 Dest MAC addr router 1 face0 Physical Twisted pair Internet IP v4: Src addr = Bob Dest addr = KCL server Network access 802.11, Src MAC addr = Gateway inter Dest MAC addr router 1 face0 Physical Twisted pair Receive from network -decapsulation Router 1 Internet IP v4: Src addr = Bob Dest addr = KCL server Network access 802.11, Src MAC addr =router 1 face 1 Dest MAC addr router 2 face 0 Physical Twisted pair Send to network - encapsulation Send to network - encapsulation Routing Routing Routing table Routing table Receiving the Destination – Decapsulation Application HTTP Transport TCP: Src port =2500 Dest port = 80 Internet IP v4: Src addr = Bob Dest addr = KCL server Network access 802.11, Src MAC addr=Router N face1 Dest MAC addr KCL server Physical Twisted pair HTTP user data Router N Internet IP v4: Src addr
[Source 4 | Week 3 | ARP protocol and ARP spoofing | lecture | dist=1.353]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5 | Week 3 | Knowledge Check  Attempt review   KEATS | quiz | dist=1.372]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t>
        </is>
      </c>
      <c r="R15" s="25" t="inlineStr">
        <is>
          <t>Low | 1.231</t>
        </is>
      </c>
      <c r="S15" s="25" t="n">
        <v>3</v>
      </c>
    </row>
    <row r="16" ht="57.75" customHeight="1" s="26">
      <c r="A16" s="35" t="n">
        <v>15</v>
      </c>
      <c r="B16" s="36" t="inlineStr">
        <is>
          <t>Week 2</t>
        </is>
      </c>
      <c r="C16" s="33" t="inlineStr">
        <is>
          <t>Medium</t>
        </is>
      </c>
      <c r="D16" s="36" t="inlineStr">
        <is>
          <t>ARP protocol</t>
        </is>
      </c>
      <c r="E16" s="36" t="inlineStr">
        <is>
          <t>What is the difference between an ARP request and an ARP reply?</t>
        </is>
      </c>
      <c r="F16" s="36" t="inlineStr">
        <is>
          <t>Request = broadcast asking who has an IP; reply = unicast with MAC</t>
        </is>
      </c>
      <c r="G16" s="36" t="inlineStr">
        <is>
          <t>No</t>
        </is>
      </c>
      <c r="H16" s="31" t="inlineStr">
        <is>
          <t>An ARP (Address Resolution Protocol) request is a message sent by a device on a network, typically a client, to discover the MAC (Media Access Control) address that corresponds to a specific IP (Internet Protocol) address. In this message, the sender's MAC address is included along with the target IP address and its MAC address, which is initially unknown. The message is broadcasted to all hosts on the network, and any device that receives this request will not respond unless it is the target device.
On the other hand, an ARP reply is the response sent by the device that has been identified as the target in the ARP request. In this message, the target device includes its own MAC address, and this information is used by the client or sender to update its ARP cache and associate the target IP address with the correct MAC address.
This process is described in week 3's material on ARP protocol and ARP spoofing (lecture).</t>
        </is>
      </c>
      <c r="I16" s="31" t="n">
        <v>3</v>
      </c>
      <c r="J16" s="31" t="n">
        <v>5</v>
      </c>
      <c r="K16" s="31" t="n">
        <v>5</v>
      </c>
      <c r="L16" s="31" t="n">
        <v>4</v>
      </c>
      <c r="M16" s="31" t="n">
        <v>33.87</v>
      </c>
      <c r="N16" s="31" t="inlineStr">
        <is>
          <t>Medium</t>
        </is>
      </c>
      <c r="O16" s="31" t="inlineStr">
        <is>
          <t>N</t>
        </is>
      </c>
      <c r="P16" s="31" t="n"/>
      <c r="Q16" s="32" t="inlineStr">
        <is>
          <t>[Source 1 | Week 3 | ARP protocol and ARP spoofing | lecture | dist=0.794]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Knowledge Check  Attempt review   KEATS | quiz | dist=1.026]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3 | Week 3 | ARP protocol and ARP spoofing | lecture | dist=1.064]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4 | Week 2 | Demo network commands | lecture | dist=1.128]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3 | ARP protocol and ARP spoofing | lecture | dist=1.133]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t>
        </is>
      </c>
      <c r="R16" s="25" t="inlineStr">
        <is>
          <t>Medium | 1.029</t>
        </is>
      </c>
      <c r="S16" s="25" t="n">
        <v>3</v>
      </c>
    </row>
    <row r="17" ht="57.75" customHeight="1" s="26">
      <c r="A17" s="35" t="n">
        <v>16</v>
      </c>
      <c r="B17" s="36" t="inlineStr">
        <is>
          <t>Week 2</t>
        </is>
      </c>
      <c r="C17" s="33" t="inlineStr">
        <is>
          <t>Medium</t>
        </is>
      </c>
      <c r="D17" s="36" t="inlineStr">
        <is>
          <t>ARP protocol</t>
        </is>
      </c>
      <c r="E17" s="36" t="inlineStr">
        <is>
          <t>What is a MAC address and how does it differ from an IP address?</t>
        </is>
      </c>
      <c r="F17" s="36" t="inlineStr">
        <is>
          <t>MAC = physical L2 fixed address; IP = logical L3 assigned address</t>
        </is>
      </c>
      <c r="G17" s="36" t="inlineStr">
        <is>
          <t>No</t>
        </is>
      </c>
      <c r="H17" s="31" t="inlineStr">
        <is>
          <t>A MAC (Media Access Control) address is a unique identifier assigned to a network interface controller (NIC) and is used to identify devices on a local area network (LAN). It represents a physical address and is essential for devices to communicate with each other. A MAC address is typically a 48-bit (6-byte) physical address written as 12 hexadecimal digits, separated by colons.
On the other hand, an IP (Internet Protocol) address is a logical address used by networking software and socket interfaces to allow packets to be independent of the physical connection of the network. IP addresses are used to identify devices on a network but are not tied to a physical connection. IP addresses can be changed or assigned by the network administrator, whereas MAC addresses are hard-coded on the NIC.
The key difference between MAC and IP addresses lies in their functions. MAC addresses are used for communication between devices on a LAN, while IP addresses are used for communication over the internet. (Source 1 | Week 2 | Demo network commands)</t>
        </is>
      </c>
      <c r="I17" s="31" t="n">
        <v>4</v>
      </c>
      <c r="J17" s="31" t="n">
        <v>3</v>
      </c>
      <c r="K17" s="31" t="n">
        <v>5</v>
      </c>
      <c r="L17" s="31" t="n">
        <v>4</v>
      </c>
      <c r="M17" s="31" t="n">
        <v>27.87</v>
      </c>
      <c r="N17" s="31" t="inlineStr">
        <is>
          <t>Medium</t>
        </is>
      </c>
      <c r="O17" s="31" t="inlineStr">
        <is>
          <t>N</t>
        </is>
      </c>
      <c r="P17" s="31" t="n"/>
      <c r="Q17" s="32" t="inlineStr">
        <is>
          <t>[Source 1 | Week 2 | Demo network commands | lecture | dist=0.892]
destination MAC is 52, 54, so same destination MAC as for cisco.com. Different IP addresses, but same MAC. Why this happening? Why can we see that same MAC address for both queries? This last question, and you can go. So, we can see this Realtek and here Realtek destinations. So, basically, Realtek is our network interface card. It's our default gateway and it has this MAC address. [the one previously mentioned.] What does it mean? It means that here is displayed the MAC address of our default gateway. Why display it here? Because MAC addresses work on a data link layer (on layer 2) and they cannot see anything after our local default gateway. So, all Ethernet data is limited by our default gateway. Here is the IP destination [2.22.69.207] and source [10.0.2.4], and the ICMP. You can see that the ICMP doesn't go up than the internet layer, so it doesn't go even to the TCP (the transport layer). From this, we can tell that it works on the internet layer (on layer 3). If you go to the DNS, if you look up DNS, we can see that it goes to the transport layer. We can see the segments here, the UDP, and then the DNS. So we can conclude that it goes to the application layer and this application layer protocol. Application [pointing at the DNS line], this one transport [pointing at the UDP line], this internet [pointing at the IP line], this data link [pointing at Ethernet line], and this is physical [pointing at the Frame line]. So, basically in the first lab, you also can play with different filters and to see what it returns, type netstat [typing netstat – tunap]. Netstat is also an important command for checking the network health. We can see what ports are open. We can see TCP UDP numbering ports, so that's why it's shown me only the TCP. And the state is listen. If I add sudo, it even shows me PID process – process ID – which is important to see who run this process. If someone, for example, here appears not expected (some user not expected), then it can be spotted by admin and to say that something wrong here.&lt;/p&gt;
[Source 2 | Week 3 | Study the DHCP protocol | lecture | dist=0.907]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ARP protocol and ARP spoofing | lecture | dist=0.912]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4 | Week 2 | Demo network commands | lecture | dist=0.923]
they produce. You can check this, and all else can be checked from the IEEE website, because it is IEEE who assigns these MAC addresses.&lt;/p&gt; &lt;p&gt;Now we can do some activity. Let's ping Yahoo. [typing ping www.yahoo.com.] Let's ping, let's say, cisco.com. [typing ping www.cisco.com.] We did two pings and we could see the information here. We should see the pinged ICMP protocol which sends some requests and then receives replies as ICMP Echo request and Echo reply. But first, before the ICMP Echo goes - this ping - start going and sending ping, we can see that the connection starts with an ARP request - so an ARP request which we'll cover next week as well. So first you can see who has this address, right? Who has this address? [pointing at a line in the Information field, saying ‘Who has 10.0.2.3? Tell 1.0.0.2.4.] So they need to decide what MAC addresses correspond to that ip addresses that I want to request. [typing ARP in the main search bar.] We got an answer - it's another MAC address.&lt;/p&gt; &lt;p&gt;Then after the ARP, I think, we saw the DNS – the DNS resolvers [typing DNS in the main search bar] – because we are asking for yahoo.com and cisco.com, and it's a domain names and we need to figure out what IP address they have. You could see that source [10.0.]2.4 requesting cisco.com IP address and we can see the reply. That is, we can even trace route. [typing traceroute ww.cisco.com.] We could see, at the final, the 2.22.69.207. It's the IP, so we could see that this address will return as well to us in here, in DNS resolution. And same, similar operations also were done for yahoo.com. The DNS and then, finally, we will have an ICMP request [typing ICMP in the main search bar] which is our pings; several pings were run after we discovered the ARP MAC address, discovered the IP address for our specific domains, then our machine [10.0.]2.4 can communicate directly with the IP address of cisco.com or yahoo.com.&lt;/p&gt; &lt;p&gt;We can see here the destination, the IP address, and the second is probably yahoo.com. We can see – let's say we pick up this – and here we can see Ethernet. So it's a frame on the data link layer. Here we could see a MAC address, which is our MAC address that we just did a look up. [08:00:27:b0:d7:76.] Also we could see the destination address for 52, 54 Realtek. Let's also pick up yahoo.com - another request - and also open the Ethernet frame, and we can see that the source was our laptop, our MAC, and we can see that the destination MAC is 52, 54, so same destination MAC as for cisco.com. Different IP addresses, but same MAC. Why this happening? Why can we see that same MAC address for both queries? This last question, and you can go. So, we can see this Realtek and here Realtek destinations. So,
[Source 5 | Week 3 | ARP protocol and ARP spoofing | lecture | dist=1.052]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t>
        </is>
      </c>
      <c r="R17" s="25" t="inlineStr">
        <is>
          <t>Medium | 0.937</t>
        </is>
      </c>
      <c r="S17" s="25" t="n">
        <v>3</v>
      </c>
    </row>
    <row r="18" ht="57.75" customHeight="1" s="26">
      <c r="A18" s="35" t="n">
        <v>17</v>
      </c>
      <c r="B18" s="36" t="inlineStr">
        <is>
          <t>Week 2</t>
        </is>
      </c>
      <c r="C18" s="33" t="inlineStr">
        <is>
          <t>Medium</t>
        </is>
      </c>
      <c r="D18" s="36" t="inlineStr">
        <is>
          <t>DHCP</t>
        </is>
      </c>
      <c r="E18" s="36" t="inlineStr">
        <is>
          <t>What are the four steps of the DHCP process?</t>
        </is>
      </c>
      <c r="F18" s="36" t="inlineStr">
        <is>
          <t>DISCOVER, OFFER, REQUEST, ACK (DORA)</t>
        </is>
      </c>
      <c r="G18" s="36" t="inlineStr">
        <is>
          <t>No</t>
        </is>
      </c>
      <c r="H18" s="31" t="inlineStr">
        <is>
          <t>The four steps of the DHCP process are:
1. Discovery: The DHCP client broadcasts a DHCP DISCOVER message on the network subnet to request an IP address.
2. Offer: The DHCP server responds with a DHCP OFFER message, which includes the client's client ID, the offered IP address, subnet mask, lease duration, and the IP address of the DHCP server.
3. Request: The client sends a DHCP REQUEST message, broadcast to the server, requesting the offered address.
4. Acknowledge: The DHCP server sends a DHCP ACK packet to the client, which includes the lease duration and any other configuration information that the client might have requested.</t>
        </is>
      </c>
      <c r="I18" s="31" t="n">
        <v>5</v>
      </c>
      <c r="J18" s="31" t="n">
        <v>5</v>
      </c>
      <c r="K18" s="31" t="n">
        <v>5</v>
      </c>
      <c r="L18" s="31" t="n">
        <v>2</v>
      </c>
      <c r="M18" s="31" t="n">
        <v>23.69</v>
      </c>
      <c r="N18" s="31" t="inlineStr">
        <is>
          <t>Medium</t>
        </is>
      </c>
      <c r="O18" s="31" t="inlineStr">
        <is>
          <t>N</t>
        </is>
      </c>
      <c r="P18" s="31" t="inlineStr">
        <is>
          <t>M4 2/5: retrieved chunks largely off-topic for this question.</t>
        </is>
      </c>
      <c r="Q18" s="32" t="inlineStr">
        <is>
          <t>[Source 1 | Week 3 | DHCP attacks | lecture | dist=0.805]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2 | Week 3 | Study the DHCP protocol | lecture | dist=0.835]
[KEATS forum] 3.5 Study the DHCP protocol If ARP is used to discover a MAC address associated with a given IP address, the Dynamic Host Configuration Protocol (DHCP) allows a device to dynamically obtain an IP address. A DHCP session consists of four messages: discovery offer request acknowledgement. For this activity, look up an explanation of DHCP – use whatever source seems appropriate to you, eg books on the reading list, online articles, etc. Draw a diagram of the exchange of messages and include details of what the four messages consist of. You can use PowerPoint or you can draw the diagram by hand and take a photo. You may also choose to summarise them in text form if you prefer. Post your finished diagram or summary on this forum. Have a look at your course mates’ diagrams to see how they compare to yours.
[Source 3 | Week 3 | DHCP attacks | lecture | dist=1.102]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4 | Week 3 | DHCP attacks | lecture | dist=1.133]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5 | Week 3 | Knowledge check | quiz | dist=1.171]
server. [Multiple choice question] Question Question number: 3 Question text: In DHCP starvation attack, what part of the protocol run is spoofed? Select all that apply: Settings Number of answers: [One/Multiple] Shuffle answers? [Yes/No] Answers (Please highlight the correct answer) Feedback (Optional feedback for each individual answer) the MAC address in the DHCP DISCOVER message the MAC address in the DHCP OFFER message the IP address in the DHCP ACK message the MAC address in the DHCP REQUEST message the IP address in the DHCP OFFER message General Feedback In a DHCP starvation attack, an attacker needs to broadcast a large number of DHCP DISCOVER messages using spoofed source MAC addresses. When accepting the DHCP OFFER, the client replies with DHCP REQUEST message which contains the same spoofed MAC address. If you are unsure about the answer, revisit the lesson ‘DHCP attacks’ in this week. [Multiple choice question] Question Question number: Question text: Choose all the messages that are sent by broadcasting: Settings Number of answers: [One/Multiple] Shuffle answers? [Yes/No] Answers (Please highlight the correct answer) Feedback (Optional feedback for each individual answer) ARP REQUEST message. ARP REPLY message. RARP REQUEST message. DHCP DISCOVER message. ICMP REQUEST message. General Feedback [Multiple choice question] Question Question number: 4 Question text: Which of the following attacks can cause a denial-of-service attack? Select all that apply: Settings Number of answers: [One/Multiple] Shuffle answers? [Yes/No] Answers (Please highlight the correct answer) Feedback (Optional feedback for each individual answer) SYN flooding attack DHCP starvation MAC flooding ICMP smurfing attack jamming attack General Feedback All five attacks – SYN flooding, DHCP starvation, MAC flooding, ICMP smurfing, and jamming – can cause denial of service by overwhelming or disrupting network resources. [Multiple choice question] Question Question number: 5 Question text: In an NTP amplification DDoS attack, why does the attacker request the NTP server to run the monlist command and respond? Select all that apply: Settings Number of answers: [One/Multiple] Shuffle answers? [Yes/No] Answers (Please highlight the correct answer) Feedback (Optional feedback for each individual answer) because the size of response traffic is much larger than that of the request because the monlist command is disabled by default on all devices because the monlist command causes a list of the last 600 IP addresses connected to the NTP server to be sent to the victim because the monlist command is enabled by default on older devices because the attacker only knows this command General Feedback The reference implementation of NTP allows users to request a list of hosts with which the NTP daemon ntpd communicated recently. The list, called ‘monlist’ has a size limit of 600 entries and contains the IP addresses of the last NTP clients or servers the instance has talked to. If you are unsure about the answer, revisit the lesson ‘Denial of service: amplification attacks’ in this week. [Multiple choice question] Question Question number: Question text: An NTP client is trying to synchronise its clock with a server. The four timestamps recorded in</t>
        </is>
      </c>
      <c r="R18" s="25" t="inlineStr">
        <is>
          <t>Medium | 1.009</t>
        </is>
      </c>
      <c r="S18" s="25" t="n">
        <v>3</v>
      </c>
    </row>
    <row r="19" ht="57.75" customHeight="1" s="26">
      <c r="A19" s="35" t="n">
        <v>18</v>
      </c>
      <c r="B19" s="36" t="inlineStr">
        <is>
          <t>Week 2</t>
        </is>
      </c>
      <c r="C19" s="34" t="inlineStr">
        <is>
          <t>Hard</t>
        </is>
      </c>
      <c r="D19" s="36" t="inlineStr">
        <is>
          <t>ARP protocol</t>
        </is>
      </c>
      <c r="E19" s="36" t="inlineStr">
        <is>
          <t>What is gratuitous ARP and why is it a security concern?</t>
        </is>
      </c>
      <c r="F19" s="36" t="inlineStr">
        <is>
          <t>Unrequested ARP reply; used for updates but exploitable for spoofing</t>
        </is>
      </c>
      <c r="G19" s="36" t="inlineStr">
        <is>
          <t>No</t>
        </is>
      </c>
      <c r="H19" s="31" t="inlineStr">
        <is>
          <t>Gratuitous ARP refers to the process of sending an ARP request without any prior request or necessity, often to update or refresh the ARP cache. This can be a security concern because it can be used by an attacker to launch an ARP spoofing attack, which involves poisoning the ARP cache of other devices on the network by sending them fake ARP replies. This can be done to steal or modify data, or to gain unauthorized access to the network.
According to Source 3, Week 3, Virtual lab, "When the CAM table is flooded with entries, this triggers the timer that the switch continuously sends unicast messages to all known MAC addresses. MAC addresses continuously. Once it stops, the switch’s timer clears the bogus entries, and it goes back to normal switching behaviour."
While Source 3 does not specifically mention gratuitous ARP, it implies that the continuous sending of unicast messages for MAC addresses can fill a network device's ARP table, thereby making it more susceptible to ARP cache poisoning. 
However, neither Source 4 nor Source 5 describe what gratuitous ARP is. While the concept of ARP cache poisoning or ARP spoofing (Source 4, Source 1 and 2) implies the necessity to regularly send requests, and thus fill up the network cache, gratuitous ARP isn't explicitly defined.
Therefore, our answer is based on general principles about ARP and ARP spoofing.</t>
        </is>
      </c>
      <c r="I19" s="31" t="n">
        <v>2</v>
      </c>
      <c r="J19" s="31" t="n">
        <v>2</v>
      </c>
      <c r="K19" s="31" t="n">
        <v>4</v>
      </c>
      <c r="L19" s="31" t="n">
        <v>1</v>
      </c>
      <c r="M19" s="31" t="n">
        <v>34.19</v>
      </c>
      <c r="N19" s="31" t="inlineStr">
        <is>
          <t>Medium</t>
        </is>
      </c>
      <c r="O19" s="31" t="inlineStr">
        <is>
          <t>Y</t>
        </is>
      </c>
      <c r="P19" s="31" t="inlineStr">
        <is>
          <t>False trigger: the substring "gratuitous arp" matched the dependency graph and probed ARP protocol, but the question does not depend on it; M4 1/5: retrieved chunks largely off-topic for this question; M2 2/5: answer asserts more than the retrieved chunks support; M1 2/5: misses or contradicts the must-include concepts.</t>
        </is>
      </c>
      <c r="Q19" s="32" t="inlineStr">
        <is>
          <t>[Source 1 | Week 3 | ARP protocol and ARP spoofing | lecture | dist=0.958]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2 | Week 3 | ARP protocol and ARP spoofing | lecture | dist=0.959]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3 | Week 3 | Virtual lab | lab_instructions | dist=1.078]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4 | Week 5 | Quiz week 1-5 | quiz | dist=1.083]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5 | Week 3 | ARP protocol and ARP spoofing | lecture | dist=1.109]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t>
        </is>
      </c>
      <c r="R19" s="25" t="inlineStr">
        <is>
          <t>Medium | 1.037</t>
        </is>
      </c>
      <c r="S19" s="25" t="n">
        <v>2</v>
      </c>
    </row>
    <row r="20" ht="57.75" customHeight="1" s="26">
      <c r="A20" s="35" t="n">
        <v>19</v>
      </c>
      <c r="B20" s="36" t="inlineStr">
        <is>
          <t>Week 2</t>
        </is>
      </c>
      <c r="C20" s="34" t="inlineStr">
        <is>
          <t>Hard</t>
        </is>
      </c>
      <c r="D20" s="36" t="inlineStr">
        <is>
          <t>DHCP</t>
        </is>
      </c>
      <c r="E20" s="36" t="inlineStr">
        <is>
          <t>What is a DHCP starvation attack?</t>
        </is>
      </c>
      <c r="F20" s="36" t="inlineStr">
        <is>
          <t>Flood server with fake-MAC requests to exhaust IP pool; DoS</t>
        </is>
      </c>
      <c r="G20" s="36" t="inlineStr">
        <is>
          <t>No</t>
        </is>
      </c>
      <c r="H20" s="31" t="inlineStr">
        <is>
          <t>A DHCP starvation attack is a situation where the DHCP server, which is responsible for distributing IP addresses and configuration details to network devices, is overwhelmed with an excessive number of DHCP REQUEST messages with spoofed source MAC addresses. This leads to the depletion of available IP addresses in the DHCP server's pool, rendering the server unable to fulfill legitimate requests. The attacker's goal is to exhaust the available IP addresses, paving the way for setting up a rogue DHCP server that can launch subsequent attacks, such as MITM and sniffing attacks.
This is achieved through the continuous broadcast of DHCP REQUEST messages, eventually exhausting the available IP address pool on the legitimate DHCP server. Once the pool is depleted, the attacker can establish a rogue DHCP server, enabling it to distribute IP addresses and configuration details to the network, which can be used to launch subsequent attacks.
CITE: Weeks 3 DHCP attacks (lecture) and Week 3 Virtual lab (lab_instructions).</t>
        </is>
      </c>
      <c r="I20" s="31" t="n">
        <v>5</v>
      </c>
      <c r="J20" s="31" t="n">
        <v>5</v>
      </c>
      <c r="K20" s="31" t="n">
        <v>5</v>
      </c>
      <c r="L20" s="31" t="n">
        <v>5</v>
      </c>
      <c r="M20" s="31" t="n">
        <v>27.82</v>
      </c>
      <c r="N20" s="31" t="inlineStr">
        <is>
          <t>High</t>
        </is>
      </c>
      <c r="O20" s="31" t="inlineStr">
        <is>
          <t>N</t>
        </is>
      </c>
      <c r="P20" s="31" t="n"/>
      <c r="Q20" s="32" t="inlineStr">
        <is>
          <t>[Source 1 | Week 3 | DHCP attacks | lecture | dist=0.348]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2 | Week 3 | DHCP attacks | lecture | dist=0.469]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3 | Week 3 | DHCP attacks | lecture | dist=0.708]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4 | Week 3 | Virtual lab | lab_instructions | dist=0.775]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5 | Week 3 | Virtual lab | lab_instructions | dist=0.862]
the server. 8 sleep 1 9 done To save the script, press the Esc key and type:w. To quit from vim editor, type :!q. To save the script, press the Esc key and type:w. Once you save it, you can check the location of this file using the command ls. Change the permissions on this file to be able to execute it: $ sudo chmod +x ./dhcpstarve.sh The shell script can be run in the terminal to launch the attack: sudo ./dhcpstarve.sh What type of packets are sent? What source and destination IP addresses do you see? What source and destination MAC addresses do you see? [View answer (no academic)] View answer The output is rather extensive, and it might be difficult to notice the lease being received. To filter the output, you can run: dhcpstarve.sh | grep bound You can see that this time the DHCP server replies with the OFFER messages and leases the IP addresses. Eventually, the DHCP server will run out of IP addresses and will stop responding to requests. When do you think the DHCP server will run out of IP addresses? Note that the DHCP starvation attack may impact getting new IP addresses; if you are having problems running the following steps, turn off the virtual machine. To release the current lease of IP address, perform the command: $ sudo dhclient -r The -r flag explicitly releases the current lease. Preventing a DHCP starvation attack Port security One effective way to prevent a DHCP starvation attack is to enable port security on switch ports. Port security restricts each port to accept only one or a specified number of valid MAC addresses. This stops a single client from spoofing multiple MAC addresses to send excessive DHCP requests. By limiting the number of allowed MAC addresses per port, you ensure that only authorised devices can obtain IP addresses, protecting the network from DHCP exhaustion and rogue clients. DHCP snooping Another way to prevent a DHCP starvation attack is to enable DHCP snooping on switches. DHCP snooping acts as a security feature that monitors DHCP messages and builds a trusted database of valid IP-to-MAC address bindings. The DHCP snooping feature identifies switch ports as ‘trusted’ and ‘untrusted’. Trusted ports (where a DHCP server or other switches are connected) can source all types of DHCP messages, including the DHCP OFFER message. Untrusted ports are the ports where DHCP clients are connected. Untrusted switch ports cannot source DHCP messages like DHCPOFFER, DHCPACK, or DHCPNAK, which are normally generated by a DHCP server. By default, all switch ports are untrusted. [new page] 4. DoS attack on web servers In this part of the lab, we will try several tools targeted at taking down a web server. These attacks keep TCP sessions open by taking advantage of how TCP connections and HTTP requests work. For example, in a SYN flood attack, the attacker sends a flood of TCP SYN packets to a server but never completes the handshake by replying with</t>
        </is>
      </c>
      <c r="R20" s="25" t="inlineStr">
        <is>
          <t>High | 0.632</t>
        </is>
      </c>
      <c r="S20" s="25" t="n">
        <v>3</v>
      </c>
    </row>
    <row r="21" ht="57.75" customHeight="1" s="26">
      <c r="A21" s="35" t="n">
        <v>20</v>
      </c>
      <c r="B21" s="36" t="inlineStr">
        <is>
          <t>Week 2</t>
        </is>
      </c>
      <c r="C21" s="34" t="inlineStr">
        <is>
          <t>Hard</t>
        </is>
      </c>
      <c r="D21" s="36" t="inlineStr">
        <is>
          <t>ARP protocol</t>
        </is>
      </c>
      <c r="E21" s="36" t="inlineStr">
        <is>
          <t>How long do ARP entries persist and why does this matter for attackers?</t>
        </is>
      </c>
      <c r="F21" s="36" t="inlineStr">
        <is>
          <t>~40s expiry; attacker must refresh poisoned entries continually</t>
        </is>
      </c>
      <c r="G21" s="36" t="inlineStr">
        <is>
          <t>No</t>
        </is>
      </c>
      <c r="H21" s="31" t="inlineStr">
        <is>
          <t>ARP entries persist indefinitely until they are manually removed or until the ARP cache is flushed due to a periodic cleanup. This is problematic for attackers because it allows them to maintain a consistent level of traffic control and spoofing, even if some of their original ARP spoofing attempts are discovered and removed. Since the ARP cache does not have a built-in expiration time and is stateless, an attacker can send a stream of spoofed ARP responses, with the network devices updating their caches repeatedly. This ensures that the attacker maintains their position as the man-in-the-middle.
(Week 3, Source 2: ARP protocol and ARP spoofing lecture) - Specifically, this source mentions that "ARP cache does not have a built-in expiration time and is stateless", and explains how this makes it vulnerable to ARP cache poisoning by attackers.</t>
        </is>
      </c>
      <c r="I21" s="31" t="n">
        <v>1</v>
      </c>
      <c r="J21" s="31" t="n">
        <v>1</v>
      </c>
      <c r="K21" s="31" t="n">
        <v>5</v>
      </c>
      <c r="L21" s="31" t="n">
        <v>3</v>
      </c>
      <c r="M21" s="31" t="n">
        <v>32</v>
      </c>
      <c r="N21" s="31" t="inlineStr">
        <is>
          <t>Medium</t>
        </is>
      </c>
      <c r="O21" s="31" t="inlineStr">
        <is>
          <t>N</t>
        </is>
      </c>
      <c r="P21" s="31" t="inlineStr">
        <is>
          <t>M2 1/5: answer asserts more than the retrieved chunks support; M1 1/5: misses or contradicts the must-include concepts.</t>
        </is>
      </c>
      <c r="Q21" s="32" t="inlineStr">
        <is>
          <t>[Source 1 | Week 5 | Quiz week 1-5 | quiz | dist=0.815]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2 | Week 3 | ARP protocol and ARP spoofing | lecture | dist=0.862]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Virtual lab | lab_instructions | dist=0.984]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4 | Week 3 | Knowledge Check  Attempt review   KEATS | quiz | dist=1.002]
type of attack could be happening here? a.there is no attack ongoing b.man-in-the-middle-attack from MAC ﬂooding c. man-in-the-middle-attack from ARP spooﬁng d.ICMP ﬂooding e.DHCP starvation Your answer is incorrect. The correct answer is: man-in-the-middle-attack from ARP spooﬁng What is the state of a web server under TCP SYN ﬂooding attack? a.closed b.SYN-sent c. SYN-received d.established e.listen Your answer is incorrect. The correct answer is: SYN-received Choose all the messages that are sent by broadcasting a.ARP request message b.ARP reply message c. RARP request message d.DHCP discovery message e.ICMP request message Your answer is incorrect. The correct answers are: ARP request message, DHCP discovery message, RARP request message _________ is a logical collection of Internet-connected devices (computers, smartphones or IoT devices) that have been infected and are controlled by a third party. a.An attacker b.A robot c. A botnet d.An automated system e.A computer network Your answer is incorrect. The correct answer is: A botnet Which of the following attacks can cause a denial of service attack? a.SYN ﬂooding attack b.DHCP starvation c. MAC ﬂooding d.ICMP smurﬁng attack e.jamming attack Your answer is incorrect. The correct answers are: MAC ﬂooding, DHCP starvation, SYN ﬂooding attack, ICMP smurﬁng attack, jamming attack An NTP client is trying to synchronise its clock with a server. The 4 timestamps recorded in the NTP message are shown in the message below as: The time the packet leaves the client = 8:00:00am The time the packet arrives at the NTP server = 10:00:05am The time the packet leaves the server = 10:00:08am The time the packet arrives at the client = 8:00:11am What is the oﬀset between the client's clock and the server's clock? a.4 hours and 2 seconds b.59 minutes and 59 seconds c. 1 hour 1 second d.2 hours e.2 hours and 1 second Your answer is incorrect. The correct answer is: 2 hours and 1 second 
[Source 5 | Week 3 | ARP protocol and ARP spoofing | lecture | dist=1.007]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t>
        </is>
      </c>
      <c r="R21" s="25" t="inlineStr">
        <is>
          <t>Medium | 0.934</t>
        </is>
      </c>
      <c r="S21" s="25" t="n">
        <v>3</v>
      </c>
    </row>
    <row r="22" ht="57.75" customHeight="1" s="26">
      <c r="A22" s="37" t="n">
        <v>21</v>
      </c>
      <c r="B22" s="38" t="inlineStr">
        <is>
          <t>Week 3</t>
        </is>
      </c>
      <c r="C22" s="30" t="inlineStr">
        <is>
          <t>Easy</t>
        </is>
      </c>
      <c r="D22" s="38" t="inlineStr">
        <is>
          <t>TCP handshake</t>
        </is>
      </c>
      <c r="E22" s="38" t="inlineStr">
        <is>
          <t>What are the three steps of the TCP three-way handshake?</t>
        </is>
      </c>
      <c r="F22" s="38" t="inlineStr">
        <is>
          <t>SYN, SYN-ACK, ACK</t>
        </is>
      </c>
      <c r="G22" s="38" t="inlineStr">
        <is>
          <t>No</t>
        </is>
      </c>
      <c r="H22" s="31" t="inlineStr">
        <is>
          <t>The three steps of the TCP three-way handshake are:
1. The client sends a SYN (Synchronise Sequence Number) packet to the server as a request to establish a connection, containing a random sequence number (for example, X). 
2. The server responds to the SYN packet with a SYN+ACK packet to the client, including two sequence numbers: the server's SYN sequence number (for example, Y) and the ACK sequence number, which is set to the sequence number it received from the client plus one (eg, X+1). 
3. The client node receives the SYN+ACK from the server and responds with an ACK packet, acknowledging the server's packet by adding one to the sequence number received (in this case, Y+1).</t>
        </is>
      </c>
      <c r="I22" s="31" t="n">
        <v>5</v>
      </c>
      <c r="J22" s="31" t="n">
        <v>5</v>
      </c>
      <c r="K22" s="31" t="n">
        <v>5</v>
      </c>
      <c r="L22" s="31" t="n">
        <v>4</v>
      </c>
      <c r="M22" s="31" t="n">
        <v>29.74</v>
      </c>
      <c r="N22" s="31" t="inlineStr">
        <is>
          <t>Medium</t>
        </is>
      </c>
      <c r="O22" s="31" t="inlineStr">
        <is>
          <t>N</t>
        </is>
      </c>
      <c r="P22" s="31" t="n"/>
      <c r="Q22" s="32" t="inlineStr">
        <is>
          <t>[Source 1 | Week 3 | TCP SYN flooding attacks | lecture | dist=0.668]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one to the sequence number (in this case, Y+1), and resend it to the server. Upon completion of this process, the TCP Three-Way Handshake is completed and the connection is established. The host and server can communicate. The client also sends the HTTP request over the established TCP connection, ie GET /mypage.html. (represented in the diagram above by the second packet, and final arrow, from server to client). Step 4: the server sends back an HTTP response The server now sends back an HTTP response over the established TCP connection: data = &lt;html&gt; "your page data" &lt;/html&gt;. Please note that this is not part of the Three-Way Handshake but is added in the diagram to demonstrate the communication between the client and server. All these steps are necessary to verify the sequence numbers originated by both sides, guaranteeing the stability of the connection. A DoS attack: SYN flooding A SYN flood attack works by flooding the server with SYN requests but not responding to the server with the expected ACK code. The malicious client can either not send the expected ACK, or (more effectively) spoof the source IP address in the SYN, causing the server to send the SYN+ACK to a falsified IP address. The falsified IP address will not send an ACK because it ‘knows’ that it never sent a SYN. The server will wait for the missing ACK for a while. However, the resources bound on the server may eventually exceed the resources available so that the server cannot connect to any legitimate clients. A SYN flooding attack can be broken down as follows: [Graphic – full-width] Note for ELVD: Hi Kehinde, please could you add step numbers to the diagram (steps are described above). The step 3 is not very clear to students in the original diagram. Let me know if you have any thoughts/questions Figure: A diagram showing a SYN flood attack. View the description below. Caption: [View description] View description A diagram showing a hacker sending multiple spoofed SYN requests to a server and the server sending many SYN+ACK responses to a black hole. A legitimate client sending a SYN request to the server gets no response, resulting a DoS attack. See the explanation below. The attacker sends a high volume of SYN packets to the targeted server, often with spoofed IP addresses. The server then responds to each one of the connection requests by sending a SYN+ACK packet to the falsified IP address. It leaves an open port ready to receive the ACK packet in response – this will never arrive. While the server waits for each ACK packet, the attacker continues to send more SYN packets. The arrival of each new SYN packet
[Source 2 | Week 3 | TCP SYN flooding attacks | lecture | dist=0.865]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3 | Week 4 | Overview and learning outcomes | overview | dist=0.944]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4 | Week 5 | Types of firewalls – part 2 | lecture | dist=0.978]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5 | Week 3 | Knowledge check | quiz | dist=0.983]
or servers the instance has talked to. If you are unsure about the answer, revisit the lesson ‘Denial of service: amplification attacks’ in this week. [Multiple choice question] Question Question number: Question text: An NTP client is trying to synchronise its clock with a server. The four timestamps recorded in the NTP message are: The time the packet leaves the client = 8:00:00am The time the packet arrives at the NTP server = 10:00:05am The time the packet leaves the server = 10:00:08am The time the packet arrives at the client = 8:00:11am What is the offset between the client's clock and the server's clock? Settings Number of answers: [One/Multiple] Shuffle answers? [Yes/No] Answers (Please highlight the correct answer) Feedback (Optional feedback for each individual answer) 4 hours and 2 seconds 2 hours and 1 second 1 hour 1 second 2 hours 59 minutes and 59 seconds General Feedback [Multiple choice question] Question Question number: 6 Question text: Assume a client wants to establish a TCP connection with a web server. What is the first step of TCP Three-Way Handshake? Settings Number of answers: [One/Multiple] Shuffle answers? [Yes/No] Answers (Please highlight the correct answer) Feedback (Optional feedback for each individual answer) the SYN packet from the client to the server the first data packet from the client to the server the SYN packet from the server to the client the ACK packet from the client to the server the SYN+ACK packet from the server to the client General Feedback A TCP 3-Way Handshake is a process which is used to establish a connection between two parties on a network. It includes the exchange of such flags as SYN, SYN/ACK and ACK. If you are unsure about the answer, revisit the lesson ‘TCP SYN flooding attacks’ in this week. [Multiple choice question] Question Question number: Question text: What is the state of a web server under a TCP SYN flooding attack? Settings Number of answers: [One/Multiple] Shuffle answers? [Yes/No] Answers (Please highlight the correct answer) Feedback (Optional feedback for each individual answer) closed SYN-sent SYN-received established listen General Feedback [Multiple choice question] Question Question number: 7 Question text: Which one of the following is a logical collection of internet-connected devices (computers, smartphones or IoT devices) that have been infected and are controlled by a third party. Settings Number of answers: [One/Multiple] Shuffle answers? [Yes/No] Answers (Please highlight the correct answer) Feedback (Optional feedback for each individual answer) an attacker a robot a botnet an automated system a computer network General Feedback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t>
        </is>
      </c>
      <c r="R22" s="25" t="inlineStr">
        <is>
          <t>Medium | 0.888</t>
        </is>
      </c>
      <c r="S22" s="25" t="n">
        <v>3</v>
      </c>
    </row>
    <row r="23" ht="57.75" customHeight="1" s="26">
      <c r="A23" s="37" t="n">
        <v>22</v>
      </c>
      <c r="B23" s="38" t="inlineStr">
        <is>
          <t>Week 3</t>
        </is>
      </c>
      <c r="C23" s="30" t="inlineStr">
        <is>
          <t>Easy</t>
        </is>
      </c>
      <c r="D23" s="38" t="inlineStr">
        <is>
          <t>ARP spoofing</t>
        </is>
      </c>
      <c r="E23" s="38" t="inlineStr">
        <is>
          <t>In one sentence, what is ARP spoofing?</t>
        </is>
      </c>
      <c r="F23" s="38" t="inlineStr">
        <is>
          <t>Sending spoofed ARP replies to poison a target's ARP cache</t>
        </is>
      </c>
      <c r="G23" s="38" t="inlineStr">
        <is>
          <t>Yes - ARP protocol</t>
        </is>
      </c>
      <c r="H23" s="31" t="inlineStr">
        <is>
          <t>ARP spoofing is a type of attack where an attacker constructs spoofed ARP replies to convince a target computer to update its ARP cache with a false MAC address associated with a given IP address, allowing the attacker to intercept and modify packets intended for another computer.</t>
        </is>
      </c>
      <c r="I23" s="31" t="n">
        <v>5</v>
      </c>
      <c r="J23" s="31" t="n">
        <v>5</v>
      </c>
      <c r="K23" s="31" t="n">
        <v>5</v>
      </c>
      <c r="L23" s="31" t="n">
        <v>4</v>
      </c>
      <c r="M23" s="31" t="n">
        <v>34.69</v>
      </c>
      <c r="N23" s="31" t="inlineStr">
        <is>
          <t>Medium</t>
        </is>
      </c>
      <c r="O23" s="31" t="inlineStr">
        <is>
          <t>Y</t>
        </is>
      </c>
      <c r="P23" s="31" t="n"/>
      <c r="Q23" s="32" t="inlineStr">
        <is>
          <t>[Source 1 | Week 3 | ARP protocol and ARP spoofing | lecture | dist=0.661]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dist=0.835]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3 | Week 3 | ARP protocol and ARP spoofing | lecture | dist=0.868]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4 | Week 3 | Knowledge check | quiz | dist=0.983]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5 | Week 1 | Network attacks | lecture | dist=0.996]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is>
      </c>
      <c r="R23" s="25" t="inlineStr">
        <is>
          <t>Medium | 0.868</t>
        </is>
      </c>
      <c r="S23" s="25" t="n">
        <v>3</v>
      </c>
    </row>
    <row r="24" ht="57.75" customHeight="1" s="26">
      <c r="A24" s="37" t="n">
        <v>23</v>
      </c>
      <c r="B24" s="38" t="inlineStr">
        <is>
          <t>Week 3</t>
        </is>
      </c>
      <c r="C24" s="33" t="inlineStr">
        <is>
          <t>Medium</t>
        </is>
      </c>
      <c r="D24" s="38" t="inlineStr">
        <is>
          <t>ARP spoofing</t>
        </is>
      </c>
      <c r="E24" s="38" t="inlineStr">
        <is>
          <t>How does ARP spoofing work step by step?</t>
        </is>
      </c>
      <c r="F24" s="38" t="inlineStr">
        <is>
          <t>Spoofed reply; poison cache; attacker MAC linked to victim IP; redirect</t>
        </is>
      </c>
      <c r="G24" s="38" t="inlineStr">
        <is>
          <t>Yes - ARP protocol</t>
        </is>
      </c>
      <c r="H24" s="31" t="inlineStr">
        <is>
          <t>ARP spoofing works as follows:
1. An attacker constructs a spoofed ARP reply message, where they suggest that the IP address of a victim machine (B) has a MAC address belonging to the attacker (cc:cc:cc:cc for example).  
   [Source 3 | Week 3 | ARP protocol and ARP spoofing (lecture)]
2. The attacker sends the spoofed ARP reply message to the network switch, which broadcasts it to all hosts in the LAN.  
   [Source 3 | Week 3 | ARP protocol and ARP spoofing (lecture)]
3. A machine on the LAN, for example computer A, receives the spoofed ARP reply message.  
   [Source 3 | Week 3 | ARP protocol and ARP spoofing (lecture)]
4. Computer A updates its ARP cache, associating the victim machine's IP address with the attacker's MAC address.  
   [Source 3 | Week 3 | ARP protocol and ARP spoofing (lecture)]
5. From now on, all packets that computer A intends for the victim machine (B) are redirected to the attacker.  
   [Source 3 | Week 3 | ARP protocol and ARP spoofing (lecture)]</t>
        </is>
      </c>
      <c r="I24" s="31" t="n">
        <v>5</v>
      </c>
      <c r="J24" s="31" t="n">
        <v>5</v>
      </c>
      <c r="K24" s="31" t="n">
        <v>5</v>
      </c>
      <c r="L24" s="31" t="n">
        <v>4</v>
      </c>
      <c r="M24" s="31" t="n">
        <v>31.92</v>
      </c>
      <c r="N24" s="31" t="inlineStr">
        <is>
          <t>Medium</t>
        </is>
      </c>
      <c r="O24" s="31" t="inlineStr">
        <is>
          <t>Y</t>
        </is>
      </c>
      <c r="P24" s="31" t="n"/>
      <c r="Q24" s="32" t="inlineStr">
        <is>
          <t>[Source 1 | Week 3 | ARP protocol and ARP spoofing | lecture | dist=0.771]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dist=0.938]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ARP protocol and ARP spoofing | lecture | dist=0.968]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3 | Demo ARP spoofing and protection | lecture | dist=0.972]
3.4 Demo: ARP spoofing and protection In this lesson, you will see a video demonstration provided by Dr Ievgeniia Kuzminykh on ARP table flooding and protection. First, you will see how ARP requests work and how the switch’s MAC address tables are populated; then, you will see how the attacker can perform MAC flooding; finally, you will learn how we can protect against MAC flooding using switch port security. Please note that this video contains visual demonstrations that may not be fully accessible for some students. You are encouraged to watch the video, but it is not required for your success in this course. You can try this demo at home. For this, you need to download Cisco Packet Tracer simulator; you can find this on the Cisco Networking Academy website and download it for free. You can download the instructions and packet tracer file below. [Download] [Download] This video is from a webinar recording from the previous module (LD: only if video is KD-produced, not needed for 3rd party videos) Demo: ARP spoofing and protection Dr Ievgeniia Kuzminykh Senior Lecturer in Cybersecurity Education View transcript Dr Ievgeniia Kuzminykh | Senior Lecturer in Cybersecurity Education Hi guys, this is my second attempt to explain your ARP protocol and MAC tables flooding. Here you can see a network that consists of two subnetworks. And all the hosts by default, they don't have ARP cache. So we can see no ARP entries. But when we start to access another host, ping or go to the web browser, then our host is starting to fill in ARP entries. Let's try to ping one of the devices [ping 172.16.31.4]. It successfully pinged. And let's see what happened in our table. We have now one entry - MAC address and corresponding IP address. We can also ping another host in the network [ping 172.16.31.3], and here will be one more entry in the table. Also, we could ping the host outside of our local area network [ping 10.10.10.2]. You can see that here is a small timeout because now ARP packets are broadcasted to all devices and they're waiting for reply who has this IP address. At the end, we receive a third entry in our table, and we see that here is IP not of the host that we sent the request to, but the IP of our default gateway. So we cannot see MAC addresses outside of our local area network. If we check here ‘ipconfig’ we can see that this is address of our default gateway, and physically it is this Gig0/0 interface on our Router1. So, switch. Switch also contains this MAC addresses table, and we can see them by running command ‘show mac-address-table'; and it contains all MAC addresses that are assigned to the ports that are, of course, open, no shut down. So that port that is under shut down does display. But what is interesting here? if you start to assign many MACs to the port, it will
[Source 5 | Week 4 | Demo using Cain and Abel for ARP spoofing and DNS poisoning | lecture | dist=1.048]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t>
        </is>
      </c>
      <c r="R24" s="25" t="inlineStr">
        <is>
          <t>Medium | 0.939</t>
        </is>
      </c>
      <c r="S24" s="25" t="n">
        <v>3</v>
      </c>
    </row>
    <row r="25" ht="57.75" customHeight="1" s="26">
      <c r="A25" s="37" t="n">
        <v>24</v>
      </c>
      <c r="B25" s="38" t="inlineStr">
        <is>
          <t>Week 3</t>
        </is>
      </c>
      <c r="C25" s="33" t="inlineStr">
        <is>
          <t>Medium</t>
        </is>
      </c>
      <c r="D25" s="38" t="inlineStr">
        <is>
          <t>TCP/SYN flooding</t>
        </is>
      </c>
      <c r="E25" s="38" t="inlineStr">
        <is>
          <t>What is a half-open connection in TCP?</t>
        </is>
      </c>
      <c r="F25" s="38" t="inlineStr">
        <is>
          <t>SYN received, SYN-ACK sent, final ACK not yet received</t>
        </is>
      </c>
      <c r="G25" s="38" t="inlineStr">
        <is>
          <t>No</t>
        </is>
      </c>
      <c r="H25" s="31" t="inlineStr">
        <is>
          <t>A half-open connection in TCP refers to a connection where one side has sent a SYN (synchronize) packet initiate a new connection, but the other side has not responded with a SYN/ACK (synchronize/acknowledgment) packet, nor has the initiating side sent an ACK (acknowledgment) packet. This leaves the connection in a state of limbo, where one side is waiting for a response from the other.
This is often the result of a TCP SYN flood attack, where an attacker sends a large number of SYN packets to a server, but never completes the handshake by sending an ACK packet. The server then establishes a half-open connection, waiting for the ACK packet that will complete the handshake, but never receives it. This consumes resources on the server, making it unavailable for legitimate connections.
This definition comes from Week 3's Virtual lab (Source 4), specifically when describing the SYN flood attack: "This leaves the server waiting with half-open connections that use up its resources."</t>
        </is>
      </c>
      <c r="I25" s="31" t="n">
        <v>3</v>
      </c>
      <c r="J25" s="31" t="n">
        <v>3</v>
      </c>
      <c r="K25" s="31" t="n">
        <v>5</v>
      </c>
      <c r="L25" s="31" t="n">
        <v>2</v>
      </c>
      <c r="M25" s="31" t="n">
        <v>35.31</v>
      </c>
      <c r="N25" s="31" t="inlineStr">
        <is>
          <t>Medium</t>
        </is>
      </c>
      <c r="O25" s="31" t="inlineStr">
        <is>
          <t>Y</t>
        </is>
      </c>
      <c r="P25" s="31" t="inlineStr">
        <is>
          <t>False trigger: the substring "half-open" matched the dependency graph and probed TCP handshake, but the question does not depend on it; M4 2/5: retrieved chunks largely off-topic for this question.</t>
        </is>
      </c>
      <c r="Q25" s="32" t="inlineStr">
        <is>
          <t>[Source 1 | Week 5 | Types of firewalls – part 2 | lecture | dist=0.815]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2 | Week 1 | slides | slides | dist=1.021]
A networking example TCP/IP Protocol Architecture Dr Hannah Cao TCP/IP Protocol Architecture SMTP (Email) FTP (file transfer) SSH (remote access) HTTP (web), SIP (VoIP), DNS (name service) TCP (contention-oriented) UDP (connectionless) IP v4, IP v6, Mobile IP OSPF, BGP, RIP ARP, ICMP, CSMA/CD (Ethernet) MACAW (WiFi), PCF, DCF, 802.15.4 (IoT) Twisted pair, optical fiber, satellite, radio Modulation Router Switch PCs, tablets, smart phones etc UTP cable etc. Peer Layers in TCP/IP Protocol Architecture Application byte stream TCP/UDP segment IP packet MAC frame Physical bit stream Alice Bob Networking Example Browsing to www.kcl.ac.uk Browser established a TCP connection with www.kcl.ac.uk server Browser asked for the index webpage using HTTP command GET Browser displayed the page on the screen Sending to Network - Encapsulation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HTTP user data TCP Header HTTP user data Receiving from Network - Decapsulation Application HTTP Transport TCP: Src port =2500 Dest port = 80 Internet IP v4: Src addr = Bob Dest addr = KCL server Network access CSMA/CD Src MAC addr =Bob Dest MAC addr = gateway face 0 Physical Twisted pair Send to network - encapsulation HTTP user data TCP Header IP Header MAC Header HTTP user data TCP Header IP Header Internet IP v4: Src addr = Bob Dest addr = KCL server Network access CSMA/CD Src MAC addr =Bob Dest MAC addr = gateway face 0 Physical Twisted pair Receive from network -decapsulation Default gateway Routing and Sending to Network again Internet IP v4: Src addr = Bob Dest addr = KCL server Network access CSMA/CD Src MAC addr =Bob Dest MAC addr = gateway face 0 Physical Twisted pair Receive from network -decapsulation Default gateway Internet IP v4: Src addr = Bob Dest addr = KCL server Network access 802.11, Src MAC addr =Gateway face1 Dest MAC addr router 1 face0 Physical Twisted pair Internet IP v4: Src addr = Bob Dest addr = KCL server Network access 802.11, Src MAC addr = Gateway inter Dest MAC addr router 1 face0 Physical Twisted pair Receive from network -decapsulation Router 1 Internet IP v4: Src addr = Bob Dest addr = KCL server Network access 802.11, Src MAC addr =router 1 face 1 Dest MAC addr router 2 face 0 Physical Twisted pair Send to network - encapsulation Send to network - encapsulation Routing Routing Routing table Routing table Receiving the Destination – Decapsulation Application HTTP Transport TCP: Src port =2500 Dest port = 80 Internet IP v4: Src addr = Bob Dest addr = KCL server Network access 802.11, Src MAC addr=Router N face1 Dest MAC addr KCL server Physical Twisted pair HTTP user data Router N Internet IP v4: Src addr
[Source 3 | Week 4 | TCP session hijacking | lecture | dist=1.109]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4 | Week 3 | Virtual lab | lab_instructions | dist=1.123]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5 | Week 4 | TCP session hijacking | lecture | dist=1.125]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t>
        </is>
      </c>
      <c r="R25" s="25" t="inlineStr">
        <is>
          <t>Medium | 1.039</t>
        </is>
      </c>
      <c r="S25" s="25" t="n">
        <v>3</v>
      </c>
    </row>
    <row r="26" ht="57.75" customHeight="1" s="26">
      <c r="A26" s="37" t="n">
        <v>25</v>
      </c>
      <c r="B26" s="38" t="inlineStr">
        <is>
          <t>Week 3</t>
        </is>
      </c>
      <c r="C26" s="33" t="inlineStr">
        <is>
          <t>Medium</t>
        </is>
      </c>
      <c r="D26" s="38" t="inlineStr">
        <is>
          <t>IP spoofing</t>
        </is>
      </c>
      <c r="E26" s="38" t="inlineStr">
        <is>
          <t>What is IP spoofing and why is it used in SYN flooding?</t>
        </is>
      </c>
      <c r="F26" s="38" t="inlineStr">
        <is>
          <t>Forge source IP; SYN-ACKs go elsewhere; attacker avoids RST</t>
        </is>
      </c>
      <c r="G26" s="38" t="inlineStr">
        <is>
          <t>No</t>
        </is>
      </c>
      <c r="H26" s="31" t="inlineStr">
        <is>
          <t>IP spoofing is a technique used to mask the true source of IP packets by modifying the source IP address. This is achieved by inserting a spoofed IP address in the source field of the IP header of any packets sent. In the context of SYN flooding, IP spoofing is used to send a large number of SYN packets to the targeted server while pretending to be different IP addresses. (Source 5 | Week 4 | Virtual lab)
This allows the attacker to flood the server with a large volume of incoming connections, potentially exhausting the server's resources and rendering it unresponsive. The server is tricked into thinking that it is receiving legitimate connection requests from multiple IP addresses, when in fact it is being targeted by a single attacker. By using IP spoofing in this manner, the attacker can make it more difficult to determine the true source of the attack. (Source 5 | Week 4 | Virtual lab)</t>
        </is>
      </c>
      <c r="I26" s="31" t="n">
        <v>3</v>
      </c>
      <c r="J26" s="31" t="n">
        <v>4</v>
      </c>
      <c r="K26" s="31" t="n">
        <v>5</v>
      </c>
      <c r="L26" s="31" t="n">
        <v>2</v>
      </c>
      <c r="M26" s="31" t="n">
        <v>25.96</v>
      </c>
      <c r="N26" s="31" t="inlineStr">
        <is>
          <t>Medium</t>
        </is>
      </c>
      <c r="O26" s="31" t="inlineStr">
        <is>
          <t>Y</t>
        </is>
      </c>
      <c r="P26" s="31" t="inlineStr">
        <is>
          <t>False trigger: the substring "syn flood" matched the dependency graph and probed TCP handshake, but the question does not depend on it; M4 2/5: retrieved chunks largely off-topic for this question.</t>
        </is>
      </c>
      <c r="Q26" s="32" t="inlineStr">
        <is>
          <t>[Source 1 | Week 3 | ARP protocol and ARP spoofing | lecture | dist=0.812]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2 | Week 3 | TCP SYN flooding attacks | lecture | dist=0.835]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3 | Week 3 | Knowledge check | quiz | dist=0.855]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4 | Demo using Cain and Abel for ARP spoofing and DNS poisoning | lecture | dist=0.885]
DNS. Here is, I just pick up randomly, but in reality, if you do this lab or in a normal network also, or to do this properly, here will be already and if the victim goes for example wants to reach the another host in the local area network, his traffic will be redirected to the spoofed IP. Just like you had in the example in the week materials. I'll go back to that slide now. But before I back, so the attacker can go even further and to perform also DNS spoofing. &lt;/p&gt; &lt;p&gt;So, for example, a simple example is like an attacker makes his own web server and plays on this web server, a fake Facebook page. Yes, simple example. And then all users in the local area network who want to reach the facebook.com page, and, you know, DNS resolution will associate facebook.com with some IP address. But this IP address will be already not from real facebook.com, but spoofed already, that belongs to attacker. Yes, so it can be done also easily with this tool. Then here you, here is a domain name and here is IP address associated with this domain name and you click ‘Resolve’ and then it will start work. So all users will be redirected to the web server of the attacker where he placed this Facebook page. Of course, now Norton browsers have protection against this one we tested and the user just log out from the real facebook.com and receive some security notification about that you're suspicious to have this spoofing, so please log in again and so on. But also attackers have special tools to bypass this restriction.&lt;/p&gt;
[Source 5 | Week 4 | Virtual lab | lab_instructions | dist=0.925]
22 What --a &lt;IP of VICTIM-2&gt; does is to spoof the IP address provided and put it in the source field of the IP header of any packets hping3 sends, effectively spoofing it. In other words, when VICTIM-1 receives any packets, it will think the packets come from VICTIM-2. Observe the packets captured on Wireshark in VICTIM-1. What did you observe? Which two machines seem to be talking to each other? What TCP flags are set in the TCP headers? Why? On the ATTACKER, stop sending packets with Ctrl-C. DoS attack with IP spoofing Now, you are going to increase the frequency of hping3 sending spoofed packets with the SYN flag to flood the victim. For that, in the ATTACKER machine, type: sudo hping3 &lt;IP VICTIM-1&gt; -S -a &lt;IP VICTIM-2&gt; -p 22 --flood Again, observe the packets captured on Wireshark. On the victim machine of the denial of service, Wireshark will likely become unresponsive. Either wait for it to catch up (after stopping the flood from the ATTACKER), or force-quit Wireshark (you can do this from a terminal with killall -9 wireshark). In some cases, you may even need to reboot the VM. Stop the flood at any time with Ctrl-C. Basically, --flood does not wait for a response (which will already be sent to the spoofed IP address of VICTIM-2) and does not print anything so as to send as many packets as possible, and to ultimately send packets faster. Finally, go back again to the help of hping3, exploring and trying out further options and attacks. If you are not clear about answers to some of the questions on this page, make a note and ask your tutor to clarify in the next webinar. Play with raw sockets (optional) Would you like to write a program yourself that conducts IP spoofing and SYN flooding instead of using hping3? You can use the open-source educational ‘spoof’ program by Purdue University which shows the source code in C to do IP spoofing. You could extend it to do SYN flooding too. [new page] 3. BGP and DNS This lab can be attempted individually or you can go through it as a group once you are finished with the previous lab and have time. You are going to have some hands-on experience with both BGP and DNS. You will: see how IP packets make it from one point on the internet to another connect to a real internet router serving millions of people make different types of DNS queries and understand real examples of DNS attacks be able to graphically visualise the internet and some of its AS. How do you get from here to there? In this question, you will attempt to identify how routes are constructed across the internet. The standard tool to look at the route from your machine to some other machine is traceroute. First of all, familiarise yourself with traceroute. For that you can run: man traceroute Try traceroute on an internal and an external site,</t>
        </is>
      </c>
      <c r="R26" s="25" t="inlineStr">
        <is>
          <t>Medium | 0.862</t>
        </is>
      </c>
      <c r="S26" s="25" t="n">
        <v>3</v>
      </c>
    </row>
    <row r="27" ht="57.75" customHeight="1" s="26">
      <c r="A27" s="37" t="n">
        <v>26</v>
      </c>
      <c r="B27" s="38" t="inlineStr">
        <is>
          <t>Week 3</t>
        </is>
      </c>
      <c r="C27" s="33" t="inlineStr">
        <is>
          <t>Medium</t>
        </is>
      </c>
      <c r="D27" s="38" t="inlineStr">
        <is>
          <t>DoS attacks</t>
        </is>
      </c>
      <c r="E27" s="38" t="inlineStr">
        <is>
          <t>What is a Smurf attack?</t>
        </is>
      </c>
      <c r="F27" s="38" t="inlineStr">
        <is>
          <t>ICMP echo broadcast with spoofed victim IP; amplification DoS</t>
        </is>
      </c>
      <c r="G27" s="38" t="inlineStr">
        <is>
          <t>No</t>
        </is>
      </c>
      <c r="H27" s="31" t="inlineStr">
        <is>
          <t>A Smurf attack is a type of distributed denial-of-service (DDoS) attack where an attacker sends a large number of Internet Control Message Protocol (ICMP) packets with a spoofed source IP address to a computer network. These ICMP packets are typically used to PING computers within a LAN, and the attack is carried out by broadcasting them to a network using an IP broadcast address. Each host on the network that receives the PING request responds with an ICMP packet, overwhelming the target server with traffic and rendering it inaccessible.
Week 3 Knowledge Check (Quiz) supports this answer as it describes a Smurf attack as a type of DDoS attack involving ICMP packets with a spoofed source IP address.
Week 3 Denial of Service amplification attacks (Lecture) and Week 5 Quiz week 1-5 (Quiz) also support this answer by providing more detailed information about Smurf attacks.</t>
        </is>
      </c>
      <c r="I27" s="31" t="n">
        <v>5</v>
      </c>
      <c r="J27" s="31" t="n">
        <v>5</v>
      </c>
      <c r="K27" s="31" t="n">
        <v>5</v>
      </c>
      <c r="L27" s="31" t="n">
        <v>3</v>
      </c>
      <c r="M27" s="31" t="n">
        <v>37.95</v>
      </c>
      <c r="N27" s="31" t="inlineStr">
        <is>
          <t>Medium</t>
        </is>
      </c>
      <c r="O27" s="31" t="inlineStr">
        <is>
          <t>N</t>
        </is>
      </c>
      <c r="P27" s="31" t="n"/>
      <c r="Q27" s="32" t="inlineStr">
        <is>
          <t>[Source 1 | Week 3 | Knowledge check | quiz | dist=0.813]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3 | Denial of service amplification attacks | lecture | dist=0.883]
3.7 Denial of service: amplification attacks Amplification attack An amplification attack takes place when an attacker is able to use an amplification factor to multiply its power. Amplification attacks are ‘asymmetric’, meaning that a relatively small number or low level of resources is required by an attacker to cause a significantly greater number or higher level of target resources to malfunction or fail. One example of an amplification attack is a smurf attack (PING amplification). Amplification attacks are the base for denial of service (DoS) attacks. [Graphic – full-width] Figure: See the description below. Caption: [View description] View description Diagram of an amplification attack. To begin, there is one attacker with 1 Mbps connection. The attacker connects to 10 compromised trigger machines, each with 1 Gbps connection, resulting in a total of 10 Gbps connection. These trigger machines are then connected to 400 ‘amplifier’ machines, providing an amplification factor of 50. This results in the target being hit with 500 Gbps of traffic. Smurfing attack A smurf attack is a distributed denial of 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A smurf attack scenario can be broken down as follows: Smurf malware is used to generate a fake PING request containing a spoofed source IP, which is actually the target server address. This will make it look like the source IP address generated the PING requests, even though it did not. The request is sent to an intermediate IP broadcast network. The request is transmitted to all of the network hosts on the network. Each host sends an ICMP (PING) response to the spoofed source address. With enough ICMP (PING) responses forwarded, the target server is brought down. NTP amplification attack Another example of an amplification attack is a Network Time Protocol (NTP) amplification DoS attack. An NTP amplification attack is a DoS attack in which an attacker exploits a NTP server functionality in order to overwhelm a targeted network or server with an amplified amount of traffic, rendering the target and its surrounding infrastructure inaccessible to regular traffic. The reference implementation of NTP allows users to request a list of hosts with which the NTP daemon (ntpd) communicated recently. The list, called ‘monlist’, has a size limit of 600 entries and contains the IP addresses of the last NTP clients or servers the instance has talked to. An NTP amplification attack has been broken down for you below. Step 1 [Graphic – full-width] Figure: The attacker spoofing a request from Alice, who is the target, to the NTP server. Caption: Step 1: the attacker uses a botnet to send NTP monlist request packets (carried over User Datagram Protocol (UDP)) with spoofed IP addresses to an NTP server which
[Source 3 | Week 5 | Quiz week 1-5 | quiz | dist=1.165]
[KEATS quiz] 5.14 Week 1–5 Quiz In this quiz, you’ll refresh your memory of material covered in weeks 1 to 5. It includes 16 multiple-choice questions and 1 open-ended question, which contains 3 sub-questions. The questions are similar to those you can expect on the final exam, and they are designed to help you prepare for it. Unlike the weekly knowledge check, this quiz is timed; you will have 30 minutes to complete it. Additionally, you are allowed only 2 attempts. Question page [Multiple choice question] Question Question number: 1 Question text: If an attacker directs a large number of forged requests to a server, what type of attack is being made? Settings Number of answers: [One/Multiple] Shuffle answers? [Yes/No] Answers (Please highlight the correct answer) Feedback (Optional feedback for each individual answer) Smurfing This is incorrect. Source address spoofing This is incorrect. Amplifier This is incorrect. Slowloris This is incorrect. SYN spoofing This is correct. General Feedback (Relevant for the question as a whole. ELCD: This field in KEATS is below ‘Question text’.) [Multiple choice question] Question Question number: 2 Question text: Which type of attack involves the altering of a systems Address Resolution Protocol (ARP) table so that it contains incorrect IP to MAC address mappings? Settings Number of answers: [One/Multiple] Shuffle answers? [Yes/No] Answers (Please highlight the correct answer) Feedback (Optional feedback for each individual answer) Reverse ARP This is incorrect. There is no hacker attack method called reverse ARP. DHCP cache poisoning This is incorrect. There is no such attack. ARP table poisoning Correct. An attacker that can modify the address table for a network device can potentially compromise the network. Modifying the address table with fake entries can cause switches to send frames to wrong nodes. An attacker can compromise the ARP table and change the MAC address so that the IP address points to the attacker’s own MAC address. This type of attack is called an ARP table poisoning attack or a man-in-the-middle attack. ARP cache poisoning This is incorrect. ARP spoofing, ARP cache poisoning, or ARP poison routing, is a technique by which an attacker sends (spoofed) Address Resolution Protocol (ARP) messages onto a local area network. General Feedback [Multiple choice question] Question Question number: 3 Question text: A DMZ (demilitarised zone) is located... Settings Number of answers: [One/Multiple] Shuffle answers? [Yes/No] Answers (Please highlight the correct answer) Feedback (Optional feedback for each individual answer) Right behind your first internet-facing firewall. This is correct. A demilitarised zone is shielded by two firewalls: the first internet-facing firewall, and one facing the private network Right in front of your first internet-facing firewall. This is incorrect. A demilitarised zone is shielded by the internet-facing firewall. It is not placed outside this firewall. Right behind your first network passive internet http firewall. This is incorrect. A demilitarised zone does not need to be placed behind a network passive internet http firewall. It just needs to be placed behind the first internet-facing firewall. Right behind your first network
[Source 4 | Week 5 | Quiz week 1-5 | quiz | dist=1.195]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3 | Virtual lab | lab_instructions | dist=1.24]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t>
        </is>
      </c>
      <c r="R27" s="25" t="inlineStr">
        <is>
          <t>Medium | 1.059</t>
        </is>
      </c>
      <c r="S27" s="25" t="n">
        <v>3</v>
      </c>
    </row>
    <row r="28" ht="57.75" customHeight="1" s="26">
      <c r="A28" s="37" t="n">
        <v>27</v>
      </c>
      <c r="B28" s="38" t="inlineStr">
        <is>
          <t>Week 3</t>
        </is>
      </c>
      <c r="C28" s="34" t="inlineStr">
        <is>
          <t>Hard</t>
        </is>
      </c>
      <c r="D28" s="38" t="inlineStr">
        <is>
          <t>ARP spoofing</t>
        </is>
      </c>
      <c r="E28" s="38" t="inlineStr">
        <is>
          <t>How does a man-in-the-middle attack using ARP spoofing work?</t>
        </is>
      </c>
      <c r="F28" s="38" t="inlineStr">
        <is>
          <t>Poison both caches; both send to attacker; attacker relays traffic</t>
        </is>
      </c>
      <c r="G28" s="38" t="inlineStr">
        <is>
          <t>Yes - ARP protocol</t>
        </is>
      </c>
      <c r="H28" s="31" t="inlineStr">
        <is>
          <t>A man-in-the-middle attack using ARP spoofing involves the attacker inserting themselves between two communicating entities, A and B, by poisoning the ARP caches of both parties. This setup involves the attacker convincing the target system (e.g., A) that B's IP address is associated with the attacker's MAC address, and vice versa.
The process involves the following steps:
1. The attacker constructs a spoofed ARP reply with IP = B's IP address and MAC = the attacker's MAC address, which B does not actually use.
2. The spoofed ARP reply is forwarded by the network switch and received by A.
3. A updates its ARP cache, associating B's IP address with the attacker's MAC address.
4. When A sends data to B, the packets are routed to the attacker on the link layer due to A's poisoned ARP cache.
5. The attacker can examine the packet, relay it, or copy it to B, pretending to be A.
[Source 3 | Week 3 | ARP protocol and ARP spoofing (lecture)]</t>
        </is>
      </c>
      <c r="I28" s="31" t="n">
        <v>4</v>
      </c>
      <c r="J28" s="31" t="n">
        <v>5</v>
      </c>
      <c r="K28" s="31" t="n">
        <v>5</v>
      </c>
      <c r="L28" s="31" t="n">
        <v>5</v>
      </c>
      <c r="M28" s="31" t="n">
        <v>34.9</v>
      </c>
      <c r="N28" s="31" t="inlineStr">
        <is>
          <t>Medium</t>
        </is>
      </c>
      <c r="O28" s="31" t="inlineStr">
        <is>
          <t>Y</t>
        </is>
      </c>
      <c r="P28" s="31" t="n"/>
      <c r="Q28" s="32" t="inlineStr">
        <is>
          <t>[Source 1 | Week 3 | ARP protocol and ARP spoofing | lecture | dist=0.733]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dist=0.905]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3 | Week 3 | ARP protocol and ARP spoofing | lecture | dist=0.953]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4 | Week 5 | Quiz week 1-5 | quiz | dist=0.955]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above on your own. Mitigations could be: Alice/Bob can also flush cache entries more regularly (let the cache expire). Alice/Bob may also send unicast ARP to confirm or update caches. However, in both cases, the attacker can resend ARP spoofing packet (about once in every 40 seconds is sufficient usually). Alice/Bob can create a static ARP table on their machine which is loaded into RAM every time the operating system is loaded. No ARP request will be sent out in this way. Any other reasonable countermeasures are also accepted.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if you’d like to use a non-standard completion setting, specify the below. [Mark as done (default) / Add requirements – specify below] Activity is completed when students do all the following: View the activity [Yes / No] Minimum attempts [None / 1 (default) / add number ] Receive a grade [None / Any grade (default) / Passing grade / Passing grade or all attempts completed]
[Source 5 | Week 4 | Demo using Cain and Abel for ARP spoofing and DNS poisoning | lecture | dist=0.965]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t>
        </is>
      </c>
      <c r="R28" s="25" t="inlineStr">
        <is>
          <t>Medium | 0.902</t>
        </is>
      </c>
      <c r="S28" s="25" t="n">
        <v>3</v>
      </c>
    </row>
    <row r="29" ht="57.75" customHeight="1" s="26">
      <c r="A29" s="37" t="n">
        <v>28</v>
      </c>
      <c r="B29" s="38" t="inlineStr">
        <is>
          <t>Week 3</t>
        </is>
      </c>
      <c r="C29" s="34" t="inlineStr">
        <is>
          <t>Hard</t>
        </is>
      </c>
      <c r="D29" s="38" t="inlineStr">
        <is>
          <t>TCP/SYN flooding</t>
        </is>
      </c>
      <c r="E29" s="38" t="inlineStr">
        <is>
          <t>What is a SYN flood attack and how does it cause denial of service?</t>
        </is>
      </c>
      <c r="F29" s="38" t="inlineStr">
        <is>
          <t>Many spoofed SYNs; server allocates state; connection table exhausted</t>
        </is>
      </c>
      <c r="G29" s="38" t="inlineStr">
        <is>
          <t>Yes - TCP handshake</t>
        </is>
      </c>
      <c r="H29" s="31" t="inlineStr">
        <is>
          <t>A SYN flood attack is a type of Denial of Service (DoS) attack that takes advantage of the Three-Way Handshake mechanism used in TCP/IP connections. In a SYN flood attack, the attacker sends a large number of SYN (Synchronize) packets to the targeted server, overwhelming it with requests to establish new connections. The attacker never completes the handshake by sending the corresponding ACK (Acknowledgement) packets, leaving the server waiting indefinitely for the final handshake to occur. As a result, the server exhausts its available connection slots, making it unable to handle legitimate connection requests from other users. These half-open connections consume system resources, causing the server to become unstable, and ultimately leading to a denial of service.
(Course sources: Week 3, TCP SYN flooding attacks; Week 3, Virtual lab)</t>
        </is>
      </c>
      <c r="I29" s="31" t="n">
        <v>5</v>
      </c>
      <c r="J29" s="31" t="n">
        <v>5</v>
      </c>
      <c r="K29" s="31" t="n">
        <v>5</v>
      </c>
      <c r="L29" s="31" t="n">
        <v>3</v>
      </c>
      <c r="M29" s="31" t="n">
        <v>28.94</v>
      </c>
      <c r="N29" s="31" t="inlineStr">
        <is>
          <t>Medium</t>
        </is>
      </c>
      <c r="O29" s="31" t="inlineStr">
        <is>
          <t>Y</t>
        </is>
      </c>
      <c r="P29" s="31" t="n"/>
      <c r="Q29" s="32" t="inlineStr">
        <is>
          <t>[Source 1 | Week 3 | TCP SYN flooding attacks | lecture | dist=0.786]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2 | Week 3 | Denial of service amplification attacks | lecture | dist=0.843]
3.7 Denial of service: amplification attacks Amplification attack An amplification attack takes place when an attacker is able to use an amplification factor to multiply its power. Amplification attacks are ‘asymmetric’, meaning that a relatively small number or low level of resources is required by an attacker to cause a significantly greater number or higher level of target resources to malfunction or fail. One example of an amplification attack is a smurf attack (PING amplification). Amplification attacks are the base for denial of service (DoS) attacks. [Graphic – full-width] Figure: See the description below. Caption: [View description] View description Diagram of an amplification attack. To begin, there is one attacker with 1 Mbps connection. The attacker connects to 10 compromised trigger machines, each with 1 Gbps connection, resulting in a total of 10 Gbps connection. These trigger machines are then connected to 400 ‘amplifier’ machines, providing an amplification factor of 50. This results in the target being hit with 500 Gbps of traffic. Smurfing attack A smurf attack is a distributed denial of 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A smurf attack scenario can be broken down as follows: Smurf malware is used to generate a fake PING request containing a spoofed source IP, which is actually the target server address. This will make it look like the source IP address generated the PING requests, even though it did not. The request is sent to an intermediate IP broadcast network. The request is transmitted to all of the network hosts on the network. Each host sends an ICMP (PING) response to the spoofed source address. With enough ICMP (PING) responses forwarded, the target server is brought down. NTP amplification attack Another example of an amplification attack is a Network Time Protocol (NTP) amplification DoS attack. An NTP amplification attack is a DoS attack in which an attacker exploits a NTP server functionality in order to overwhelm a targeted network or server with an amplified amount of traffic, rendering the target and its surrounding infrastructure inaccessible to regular traffic. The reference implementation of NTP allows users to request a list of hosts with which the NTP daemon (ntpd) communicated recently. The list, called ‘monlist’, has a size limit of 600 entries and contains the IP addresses of the last NTP clients or servers the instance has talked to. An NTP amplification attack has been broken down for you below. Step 1 [Graphic – full-width] Figure: The attacker spoofing a request from Alice, who is the target, to the NTP server. Caption: Step 1: the attacker uses a botnet to send NTP monlist request packets (carried over User Datagram Protocol (UDP)) with spoofed IP addresses to an NTP server which
[Source 3 | Week 3 | TCP SYN flooding attacks | lecture | dist=0.895]
sending a SYN+ACK packet to the falsified IP address. It leaves an open port ready to receive the ACK packet in response – this will never arrive. While the server waits for each ACK packet, the attacker continues to send more SYN packets. The arrival of each new SYN packet causes the server to temporarily maintain a new open port connection for a certain length of time. Once all the available ports have been utilised, the server is unable to function normally. A legitimate client, who is trying to connect to the targeted server, won’t be able to connect with it as the server’s resources are consumed, resulting in a DoS attack.
[Source 4 | Week 3 | Virtual lab | lab_instructions | dist=0.908]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5 | Week 3 | Virtual lab | lab_instructions | dist=0.912]
3.10 Virtual lab 1. Introduction In this lab, you will be performing a denial of service attack using: the MAC tables flooding the DHCP starvation the Slowloris. For the first part of the lab, the ATTACKER and VICTIM are on the same virtual machine. The VICTIM is the default gateway that acts as a DHCP server and leases the IP addresses to the devices in the network. For the Slowloris attack, you will need two virtual machines: the ATTACKER and VICTIM running web server. Continue to the next page to start with the MAC table flood. [new page] 2. MAC table flood An attack that floods the MAC table of a switch is called a MAC flood attack or MAC overflow attack. In this example, we’ll see how easy it is to launch such an attack using Kali Linux. How a switch manages traffic First, let’s understand how a switch manages traffic. A switch uses a Content Addressable Memory (CAM) table, also called a switching table, to map the MAC address of each connected device to the physical switch port it’s connected to. This allows the switch to forward data only to the correct destination port, making network traffic much more efficient. When the CAM table is working properly, it maintains many MAC-to-port pairings. However, in a MAC flood attack, the attacker uses tools like macof to send a large number of fake MAC addresses to the switch. This quickly fills up the CAM table with bogus entries. Once the table is full, the switch can no longer learn legitimate MAC addresses and doesn’t know where to send frames. When this happens, the switch enters a fail-open mode and starts acting like a hub – sending traffic out to all ports instead of only to the intended destination. This makes it easy for an attacker to capture traffic with a packet sniffer. Starting a MAC flood attack Now let’s see how to perform a MAC flood attack and observe the results. First of all, open Wireshark by opening the Terminal and typing wireshark Select the interface for capturing data eth0. In another Terminal, type the command: macof Once the attack starts, notice how the bandwidth spikes as the tool floods the switch with fake entries, observing the entries in Wireshark. What source and destination IP do you see? What source and destination MAC addresses do you see? [View answer (no academic)] View answer In Wireshark, you should notice the traffic, more specifically packets with null or random IP addresses, random port numbers, and random MAC addresses, generated to overflow the switch’s MAC address table. To stop the attack, press Ctrl+C. For the attack to work, macof must keep sending fake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t>
        </is>
      </c>
      <c r="R29" s="25" t="inlineStr">
        <is>
          <t>Medium | 0.869</t>
        </is>
      </c>
      <c r="S29" s="25" t="n">
        <v>3</v>
      </c>
    </row>
    <row r="30" ht="57.75" customHeight="1" s="26">
      <c r="A30" s="37" t="n">
        <v>29</v>
      </c>
      <c r="B30" s="38" t="inlineStr">
        <is>
          <t>Week 3</t>
        </is>
      </c>
      <c r="C30" s="34" t="inlineStr">
        <is>
          <t>Hard</t>
        </is>
      </c>
      <c r="D30" s="38" t="inlineStr">
        <is>
          <t>TCP/SYN flooding</t>
        </is>
      </c>
      <c r="E30" s="38" t="inlineStr">
        <is>
          <t>Name two countermeasures for SYN flood attacks and how they help.</t>
        </is>
      </c>
      <c r="F30" s="38" t="inlineStr">
        <is>
          <t>Two of: SYN cookies, rate limiting, timeout reduction, table sizing</t>
        </is>
      </c>
      <c r="G30" s="38" t="inlineStr">
        <is>
          <t>Yes - TCP handshake</t>
        </is>
      </c>
      <c r="H30" s="31" t="inlineStr">
        <is>
          <t>Countermeasures for SYN flood attacks include:
1. **Imposing rate limits on network links**: This helps by preventing an attacker from sending a large number of TCP SYN packets to a server in a short period, thereby limiting the number of half-open connections and preventing the server from running out of resources.
2. **Using SYN cookies**: This is a technique that allows the server to respond to a TCP SYN packet without sending a temporary session key, thus preventing the server from running out of resources even if an attacker sends a large number of packets.
These countermeasures help by reducing the number of half-open connections that can be established and preventing the server from running out of resources.</t>
        </is>
      </c>
      <c r="I30" s="31" t="n">
        <v>3</v>
      </c>
      <c r="J30" s="31" t="n">
        <v>2</v>
      </c>
      <c r="K30" s="31" t="n">
        <v>5</v>
      </c>
      <c r="L30" s="31" t="n">
        <v>2</v>
      </c>
      <c r="M30" s="31" t="n">
        <v>27.79</v>
      </c>
      <c r="N30" s="31" t="inlineStr">
        <is>
          <t>Medium</t>
        </is>
      </c>
      <c r="O30" s="31" t="inlineStr">
        <is>
          <t>Y</t>
        </is>
      </c>
      <c r="P30" s="31" t="inlineStr">
        <is>
          <t>M4 2/5: retrieved chunks largely off-topic for this question; M2 2/5: answer asserts more than the retrieved chunks support.</t>
        </is>
      </c>
      <c r="Q30" s="32" t="inlineStr">
        <is>
          <t>[Source 1 | Week 3 | TCP SYN flooding attacks | lecture | dist=0.943]
3.9 TCP SYN flooding attacks Before we get into how the Three-Way Handshake works, here is a short explanation of a botnet. Compare it to your findings in the previous ‘DoS attacks in the media’ forum. [Definition box] Botnet A botnet is a logical collection of internet-connected devices (computers, smartphones or IoT devices) that have been infected and are controlled by a third party. A controller software (known as ‘command &amp; control’) is able to direct the activities of each compromised device (known as a ‘bot’) using network protocols like HTTP. Botnets are used for distributed denial of service (DDoS) attacks and other types of attacks (spam, data theft, etc). Now let’s look at another DoS attack which exploits how the communications in a network are established. Establishing a network: Three-Way Handshake [Definition box] Three-Way Handshake A Three-Way Handshake, also known as a TCP 3-Way Handshake, is a process which is used to establish a connection between two parties on a network. A Three-Way Handshake is a three-step process that requires both the parties to exchange synchronisation and acknowledgement packets before the real data communication process starts. This is what the process looks like visually, with a text explanation following. [Graphic – full image] Note for ELVD: please could you add step numbers in the diagram Each arrow is a step; the first step is the one on the top (SYN, Seq_No = x) Figure: A diagram showing the Three-Way Handshake process. See the explanation below. Caption: Step 1: the client sends a SYN packet to the server as a request to establish a connection First, the client node sends a SYN (Synchronise Sequence Number) packet to a server on the same or an external network. This SYN packet contains a random sequence number that the client wants to use for the communication (for example, X). The objective of this packet is to ask if the server is open for new connections. Step 2: the server responds to the SYN packet with a SYN+ACK packet to the client When the server receives the SYN packet from the client node, it returns a confirmation receipt – the SYN+ACK packet. This packet includes two sequence numbers. The first one is the SYN sequence number generated by the server itself, which is another random sequence number (for example, Y). The second one is the ACK sequence number, which is set by the server to be the sequence number it received from the client plus one (eg, X+1). This sequence indicates that the server correctly acknowledged the client’s packet, and that it is sending its own packet to be acknowledged as well. Step 3: client node receives the SYN+ACK from the server and responds with an ACK packet The client node receives the SYN+ACK packet from the server and responds with an ACK packet. Once again, each side must acknowledge the sequence number received by incrementing it by one. So now it’s the turn of the client to acknowledge the server’s packet by adding
[Source 2 | Week 3 | Virtual lab | lab_instructions | dist=0.994]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3 | Week 3 | ARP protocol and ARP spoofing | lecture | dist=1.038]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4 | Week 5 | 3.16 Quiz week 1-3  Attempt review   KEATS | quiz | dist=1.039]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must maintain mappings for the entire DNS structure c. DNS servers are programmed to drop requests for name translations that are not within their zone d.DNS servers can cache recent queries to reduce DNS query traﬃc. Your answer is incorrect. What are some ways to prevent SYN spooﬁng attacks? a.All of the above b.Use selective or random dropping of TCP table entries c. None of the above d.Use SYN cookies e.Impose rate limits on network links f. Modify the size of the TCP connections table or timeout period Your answer is incorrect. v2 (latest) v2 (latest) Firewalls are what type of mechanisms? a.Botnet b.Attack c. Prevention d.None of the above Your answer is incorrect. The disadvantages of locating a honeypot in an internal network are: a.It leads to honey ﬁles, which are malicous byproducts of the prolonged use of the honeypot. b.If it is compromised, it can attack other internal systems and its location requires the outer ﬁrewall to permit traﬃc through its ﬁlters. c. It has little or no ability to trap internal attackers and it cannot detect a misconﬁgured ﬁrewall. d.It puts more load on the external ﬁrewall and on the resources of the internal system. e.It leads to a honey do list, which can ruin a Saturday. Your answer is incorrect. v2 (latest) v2 (latest) v2 (latest) Several analysis methods can be employed by an IDS, each with its own strengths and weaknesses, and their applicability to any given situation should be carefully considered. There are two basic IDS analysis methods that exist. Which of the basic method is more prone to false positive? a.Network-based intrusion detection b.Host-based intrusion detection c. Anomaly Detection d.Pattern Matching (also called signature analysis) Your answer is incorrect. In a TCP spooﬁng attack, attacker ideally wishes to use addresses that will not respond to the SYN-ACK with a RST. Select one: True False In the context of IDS systems a false negative is when a authorized user is identiﬁed as an intruder and a false positive is identiﬁed where intruders are not identiﬁed as intruders. Select one: True False v2 (latest) The SNORT system is a signature-based NIDS. Select one: True False 
[Source 5 | Week 4 | Virtual lab | lab_instructions | dist=1.053]
22 What --a &lt;IP of VICTIM-2&gt; does is to spoof the IP address provided and put it in the source field of the IP header of any packets hping3 sends, effectively spoofing it. In other words, when VICTIM-1 receives any packets, it will think the packets come from VICTIM-2. Observe the packets captured on Wireshark in VICTIM-1. What did you observe? Which two machines seem to be talking to each other? What TCP flags are set in the TCP headers? Why? On the ATTACKER, stop sending packets with Ctrl-C. DoS attack with IP spoofing Now, you are going to increase the frequency of hping3 sending spoofed packets with the SYN flag to flood the victim. For that, in the ATTACKER machine, type: sudo hping3 &lt;IP VICTIM-1&gt; -S -a &lt;IP VICTIM-2&gt; -p 22 --flood Again, observe the packets captured on Wireshark. On the victim machine of the denial of service, Wireshark will likely become unresponsive. Either wait for it to catch up (after stopping the flood from the ATTACKER), or force-quit Wireshark (you can do this from a terminal with killall -9 wireshark). In some cases, you may even need to reboot the VM. Stop the flood at any time with Ctrl-C. Basically, --flood does not wait for a response (which will already be sent to the spoofed IP address of VICTIM-2) and does not print anything so as to send as many packets as possible, and to ultimately send packets faster. Finally, go back again to the help of hping3, exploring and trying out further options and attacks. If you are not clear about answers to some of the questions on this page, make a note and ask your tutor to clarify in the next webinar. Play with raw sockets (optional) Would you like to write a program yourself that conducts IP spoofing and SYN flooding instead of using hping3? You can use the open-source educational ‘spoof’ program by Purdue University which shows the source code in C to do IP spoofing. You could extend it to do SYN flooding too. [new page] 3. BGP and DNS This lab can be attempted individually or you can go through it as a group once you are finished with the previous lab and have time. You are going to have some hands-on experience with both BGP and DNS. You will: see how IP packets make it from one point on the internet to another connect to a real internet router serving millions of people make different types of DNS queries and understand real examples of DNS attacks be able to graphically visualise the internet and some of its AS. How do you get from here to there? In this question, you will attempt to identify how routes are constructed across the internet. The standard tool to look at the route from your machine to some other machine is traceroute. First of all, familiarise yourself with traceroute. For that you can run: man traceroute Try traceroute on an internal and an external site,</t>
        </is>
      </c>
      <c r="R30" s="25" t="inlineStr">
        <is>
          <t>Medium | 1.013</t>
        </is>
      </c>
      <c r="S30" s="25" t="n">
        <v>3</v>
      </c>
    </row>
    <row r="31" ht="57.75" customHeight="1" s="26">
      <c r="A31" s="37" t="n">
        <v>30</v>
      </c>
      <c r="B31" s="38" t="inlineStr">
        <is>
          <t>Week 3</t>
        </is>
      </c>
      <c r="C31" s="34" t="inlineStr">
        <is>
          <t>Hard</t>
        </is>
      </c>
      <c r="D31" s="38" t="inlineStr">
        <is>
          <t>ARP spoofing</t>
        </is>
      </c>
      <c r="E31" s="38" t="inlineStr">
        <is>
          <t>Why can't ARP spoofing typically be performed across different subnets?</t>
        </is>
      </c>
      <c r="F31" s="38" t="inlineStr">
        <is>
          <t>ARP is link-local (L2); doesn't cross routers/subnet boundaries</t>
        </is>
      </c>
      <c r="G31" s="38" t="inlineStr">
        <is>
          <t>Yes - ARP protocol</t>
        </is>
      </c>
      <c r="H31" s="31" t="inlineStr">
        <is>
          <t>ARP spoofing typically can't be performed across different subnets because the ARP protocol operates at the data link layer (OSI layer 2) and is limited to the broadcast domain of the local area network (LAN). It relies on broadcast ARP requests to be received by all devices on the same subnet, and responses are sent back using unicast messages. 
When trying to ARP sweep a different subnet, the request will be discarded by routers because it is not intended for the network they are on, and will not be seen by the hosts on the other subnet. This makes it difficult for an attacker to spoof ARP requests from another subnet.
Therefore, ARP spoof attacks are mainly effective within the same subnet, and an attacker would need to gain access to the same broadcast domain to launch an ARP spoofing attack. (Source Material: Week 3 ARP protocol and ARP spoofing lectures)</t>
        </is>
      </c>
      <c r="I31" s="31" t="n">
        <v>5</v>
      </c>
      <c r="J31" s="31" t="n">
        <v>4</v>
      </c>
      <c r="K31" s="31" t="n">
        <v>5</v>
      </c>
      <c r="L31" s="31" t="n">
        <v>4</v>
      </c>
      <c r="M31" s="31" t="n">
        <v>35.04</v>
      </c>
      <c r="N31" s="31" t="inlineStr">
        <is>
          <t>Low</t>
        </is>
      </c>
      <c r="O31" s="31" t="inlineStr">
        <is>
          <t>Y</t>
        </is>
      </c>
      <c r="P31" s="31" t="inlineStr">
        <is>
          <t>Under-confident: Low band on a 5/5 answer (mean distance 1.106 above the 1.1 cut-off).</t>
        </is>
      </c>
      <c r="Q31" s="32" t="inlineStr">
        <is>
          <t>[Source 1 | Week 3 | ARP protocol and ARP spoofing | lecture | dist=0.881]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2 | Week 3 | ARP protocol and ARP spoofing | lecture | dist=1.0]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Let’s see how an attacker can perform a spoofing attack. Step 1 [Graphic – full-width] Note for ELVD: please could you change the label below A from ‘ARP cache’ to ‘Computer A’s ARP cache’ and the one below B from ‘ARP cache’ to ‘Computer B’s ARP cache’ Figure: View description. Caption: [View description] View description Three computers are connected to a switch: computer A has IP 10.0.0.1 and MAC aa:aa:aa:aa computer B has IP 10.0.0.2 and MAC bb:bb:bb:bb the hacker has IP 10.0.0.3 and MAC cc:cc:cc:cc. Below computer A there is the label ‘Computer A’s ARP cache’ with no values. Below computer B there is the label ‘Computer B’s ARP cache’ with IP = 10.0.0.1 and MAC = aa:aa:aa:aa. The hacker constructs a spoofed ARP reply with IP = 10.0.0.2 and MAC = cc:cc:cc:cc. The attacker constructs spoofed ARP replies, where the attacker suggests that the IP address 10.0.0.2 (which belongs to B) has MAC address cc:cc:cc:cc, which is the attacker's MAC address. Step 2 [Graphic – full-width] Figure: Below computer A’s ARP cache label, IP = 10.0.0.2 and MAC = bb:bb:bb:bb (correct). Caption: The attacker’s message is forwarded in the network by the network switch. Step 3 [Graphic – full-width] Figure: View the description below. Caption: The message reaches computer A. Step 4 [Graphic – full-width] Figure: View the description below. Caption: Computer A updates its ARP cache, associating the IP address 10.0.0.2 with the MAC address cc:cc:cc:cc. A’s cache is poisoned and all packets that A intends for B get sent to the attacker. Although fairly straightforward to conduct, an attack of ARP spoofing can face some difficulties. For example, the ARP cache expires, so the entries need to be refreshed (about once every 40s is sufficient usually). Navigate to the next chapter to learn about another type of ARP spoofing attack. [new page] 3. Man-in-the-middle (MITM) attack with ARP spoofing Let’s look at how a man-in-the-middle attack is performed using ARP spoofing. The goal of the attack is to insert the hacker’s computer, H, in between the conversation of A and B, such that A and B should be able to continue their conversation, but with H having complete access to all their packets. This is similar to the ARP spoofing attack we saw previously. The attacker will need to: poison A’s cache, spoofing B’s address as its own poison B’s cache, spoofing A’s address as its own. This is the set up for the attack. Then, when a packet comes through from A to B, it goes to the hacker on the link layer because of A’s poisoned cache. The attacker can examine this message and relay or copy it to B, pretending to be A.
[Source 3 | Week 4 | Demo using Cain and Abel for ARP spoofing and DNS poisoning | lecture | dist=1.156]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
[Source 4 | Week 3 | ARP protocol and ARP spoofing | lecture | dist=1.196]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much greater feature set than RARP. In all cases the client broadcasts the request and does not need prior knowledge of the network topology. We will now look at an example of how ARP operates. Let’s say that system A is looking for the physical address of an unknown node whose IP address is: 141.23.56.23. [Graphic – full-width] Figure: Diagram showing an ARP request being sent on a network. Details in text below. Caption: System A creates a request ARP message by providing the following information: the sender’s physical address the sender’s IP address the target’s IP address the target’s physical address, filled with zeros since it’s not known. The message is passed to the link layer where it is encapsulated in a frame which fills in the sender’s physical address and the missing target physical address with the broadcast address. The message is broadcasted. Every host or router on the LAN receives the frame. All stations pass it to ARP and all machines except the one targeted drop the packet. [Graphic – full-width] Figure: View description. Caption: [View description] View description Diagram showing targeted machine replying to the ARP request with the message ‘I am the node you are looking for and my physical address is A46EF45983AB’. Details in text below. The target machine replies with the ARP message that contains its physical address using a unicast message. The sender receives the reply message and knows the physical address of the target. As we can see, the process is straightforward, but a network can see a huge number of these requests. So to avoid having to send an ARP request packet each time, a host can cache the IP and the corresponding host address in its ARP table (ARP cache). ARP is a stateless protocol. This means ARP continues to accept ARP replies and overwrite the old ones, even if they have not expired yet or even if the protocol did not ask them. Worse, ARP does not define any authentication method to check whether the replies come from the expected machine (the one we want to receive the replies from). [Key concept box] The ARP cache and the fact that ARP is a stateless protocol offer chances for the attacker to perform ARP spoofing. ARP cache poisoning by spoofing begins with the attacker constructing spoofed ARP replies. A target computer could be convinced to send frames destined for computer A to instead computer B. The process is totally transparent to the target computer, so A will have no idea that this redirection took place. This process of updating a target computer’s ARP cache is referred to variously as: ARP poisoning ARP spoofing ARP poison routing ARP cache poisoning.
[Source 5 | Week 3 | Demo ARP spoofing and protection | lecture | dist=1.296]
3.4 Demo: ARP spoofing and protection In this lesson, you will see a video demonstration provided by Dr Ievgeniia Kuzminykh on ARP table flooding and protection. First, you will see how ARP requests work and how the switch’s MAC address tables are populated; then, you will see how the attacker can perform MAC flooding; finally, you will learn how we can protect against MAC flooding using switch port security. Please note that this video contains visual demonstrations that may not be fully accessible for some students. You are encouraged to watch the video, but it is not required for your success in this course. You can try this demo at home. For this, you need to download Cisco Packet Tracer simulator; you can find this on the Cisco Networking Academy website and download it for free. You can download the instructions and packet tracer file below. [Download] [Download] This video is from a webinar recording from the previous module (LD: only if video is KD-produced, not needed for 3rd party videos) Demo: ARP spoofing and protection Dr Ievgeniia Kuzminykh Senior Lecturer in Cybersecurity Education View transcript Dr Ievgeniia Kuzminykh | Senior Lecturer in Cybersecurity Education Hi guys, this is my second attempt to explain your ARP protocol and MAC tables flooding. Here you can see a network that consists of two subnetworks. And all the hosts by default, they don't have ARP cache. So we can see no ARP entries. But when we start to access another host, ping or go to the web browser, then our host is starting to fill in ARP entries. Let's try to ping one of the devices [ping 172.16.31.4]. It successfully pinged. And let's see what happened in our table. We have now one entry - MAC address and corresponding IP address. We can also ping another host in the network [ping 172.16.31.3], and here will be one more entry in the table. Also, we could ping the host outside of our local area network [ping 10.10.10.2]. You can see that here is a small timeout because now ARP packets are broadcasted to all devices and they're waiting for reply who has this IP address. At the end, we receive a third entry in our table, and we see that here is IP not of the host that we sent the request to, but the IP of our default gateway. So we cannot see MAC addresses outside of our local area network. If we check here ‘ipconfig’ we can see that this is address of our default gateway, and physically it is this Gig0/0 interface on our Router1. So, switch. Switch also contains this MAC addresses table, and we can see them by running command ‘show mac-address-table'; and it contains all MAC addresses that are assigned to the ports that are, of course, open, no shut down. So that port that is under shut down does display. But what is interesting here? if you start to assign many MACs to the port, it will</t>
        </is>
      </c>
      <c r="R31" s="25" t="inlineStr">
        <is>
          <t>Low | 1.106</t>
        </is>
      </c>
      <c r="S31" s="25" t="n">
        <v>3</v>
      </c>
    </row>
    <row r="32" ht="57.75" customHeight="1" s="26">
      <c r="A32" s="39" t="n">
        <v>31</v>
      </c>
      <c r="B32" s="40" t="inlineStr">
        <is>
          <t>Week 4</t>
        </is>
      </c>
      <c r="C32" s="30" t="inlineStr">
        <is>
          <t>Easy</t>
        </is>
      </c>
      <c r="D32" s="40" t="inlineStr">
        <is>
          <t>Session hijacking</t>
        </is>
      </c>
      <c r="E32" s="40" t="inlineStr">
        <is>
          <t>What is session hijacking?</t>
        </is>
      </c>
      <c r="F32" s="40" t="inlineStr">
        <is>
          <t>Taking over an authenticated session for unauthorised access</t>
        </is>
      </c>
      <c r="G32" s="40" t="inlineStr">
        <is>
          <t>No</t>
        </is>
      </c>
      <c r="H32" s="31" t="inlineStr">
        <is>
          <t>Session hijacking is a type of attack where an attacker takes control of a communication session between two entities, typically by intercepting packets and inserting their own packets to manipulate the flow of data. 
To achieve this, the attacker needs to have access to the packets in the session, either by being on-path (within the network) or by guessing sequence numbers in the case of off-path attacks. Once the attacker has hijacked the session, they can manipulate the flow of data, which can lead to various malicious activities such as spoofing the client or server, redirecting the client to specific pages, or stealing sensitive information.
The attacker's goal is to remain undetected and maintain control of the session, which can be challenging to achieve, especially in the case of on-path attacks.</t>
        </is>
      </c>
      <c r="I32" s="31" t="n">
        <v>4</v>
      </c>
      <c r="J32" s="31" t="n">
        <v>5</v>
      </c>
      <c r="K32" s="31" t="n">
        <v>5</v>
      </c>
      <c r="L32" s="31" t="n">
        <v>5</v>
      </c>
      <c r="M32" s="31" t="n">
        <v>28.88</v>
      </c>
      <c r="N32" s="31" t="inlineStr">
        <is>
          <t>Low</t>
        </is>
      </c>
      <c r="O32" s="31" t="inlineStr">
        <is>
          <t>Y</t>
        </is>
      </c>
      <c r="P32" s="31" t="inlineStr">
        <is>
          <t>False trigger: the substring "session hijacking" matched the dependency graph and probed TCP handshake, but the question does not depend on it; Under-confident: Low band on a 4/5 answer (mean distance 1.112 above the 1.1 cut-off).</t>
        </is>
      </c>
      <c r="Q32" s="32" t="inlineStr">
        <is>
          <t>[Source 1 | Week 5 | Quiz week 1-5 | quiz | dist=1.041]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2 | Week 4 | This week’s webinar | webinar | dist=1.042]
4.12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Can you discuss TCP session hijacking by an on-path adversary? Can you explain how iterative DNS queries work and how this can be exploited to poison caches? Can you explain how BGP routes can be hijacked and how the 'network black holes' are created?
[Source 3 | Week 4 | TCP session hijacking | lecture | dist=1.142]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4 | Week 4 | TCP session hijacking | lecture | dist=1.155]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5 | Week 1 | Network attacks | lecture | dist=1.179]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t>
        </is>
      </c>
      <c r="R32" s="25" t="inlineStr">
        <is>
          <t>Low | 1.112</t>
        </is>
      </c>
      <c r="S32" s="25" t="n">
        <v>3</v>
      </c>
    </row>
    <row r="33" ht="57.75" customHeight="1" s="26">
      <c r="A33" s="39" t="n">
        <v>32</v>
      </c>
      <c r="B33" s="40" t="inlineStr">
        <is>
          <t>Week 4</t>
        </is>
      </c>
      <c r="C33" s="30" t="inlineStr">
        <is>
          <t>Easy</t>
        </is>
      </c>
      <c r="D33" s="40" t="inlineStr">
        <is>
          <t>DNS poisoning</t>
        </is>
      </c>
      <c r="E33" s="40" t="inlineStr">
        <is>
          <t>What is DNS poisoning?</t>
        </is>
      </c>
      <c r="F33" s="40" t="inlineStr">
        <is>
          <t>Corrupting DNS cache with false IP-domain mappings; redirects users</t>
        </is>
      </c>
      <c r="G33" s="40" t="inlineStr">
        <is>
          <t>No</t>
        </is>
      </c>
      <c r="H33" s="31" t="inlineStr">
        <is>
          <t>DNS poisoning is an attack where an attacker intercepts and alters the DNS response, replacing the correct IP address of a domain with a malicious IP address. This can be achieved by responding to a DNS query with a false IP address before the authoritative DNS server can send the correct response. As a result, the DNS server-cache is poisoned and subsequent requests for the same domain will return the malicious IP address. This allows the attacker to redirect users to a compromised or fake website.
For example, in a scenario where a client requests the IP address of www.google.com, an attacker may reply to the DNS query with a false IP address, which the local DNS server will then cache. Subsequent requests for www.google.com from other clients will then be directed to the malicious IP address provided by the attacker.
This type of attack can lead to various malicious activities, including website spoofing, where an attacker creates a fake website that mimics a legitimate one, and then steals the client's sensitive information.
Weeks 4 material from [Source 1 | Week 4 | DNS and DNS cache poisoning (lecture)] and [Source 2 | Week 4 | DNS and DNS cache poisoning (lecture)] provide the main information on DNS poisoning.</t>
        </is>
      </c>
      <c r="I33" s="31" t="n">
        <v>5</v>
      </c>
      <c r="J33" s="31" t="n">
        <v>5</v>
      </c>
      <c r="K33" s="31" t="n">
        <v>5</v>
      </c>
      <c r="L33" s="31" t="n">
        <v>3</v>
      </c>
      <c r="M33" s="31" t="n">
        <v>27.99</v>
      </c>
      <c r="N33" s="31" t="inlineStr">
        <is>
          <t>Medium</t>
        </is>
      </c>
      <c r="O33" s="31" t="inlineStr">
        <is>
          <t>Y</t>
        </is>
      </c>
      <c r="P33" s="31" t="inlineStr">
        <is>
          <t>False trigger: the substring "dns poisoning" matched the dependency graph and probed ARP protocol, but the question does not depend on it.</t>
        </is>
      </c>
      <c r="Q33" s="32" t="inlineStr">
        <is>
          <t>[Source 1 | Week 4 | DNS and DNS cache poisoning | lecture | dist=0.744]
one of the top-level DNS servers responsible for ‘com’ which were provided by the root DNS server. Then the top-level DNS server finds a suffix google.com and returns to the local DNS server with an IP address of the authoritative DNS server for google, ie google.com. Finally, the local DNS server sends the same query again to the authoritative DNS server dns.google.com. In a poisoning attack, however, before the authoritative DNS server replies with the IP address of www.google.com (eg aa:aa:aa:aa), an attacker replies to the request indicating a specific IP address that belongs to the attacker (eg bb:bb:bb:bb). So, the local DNS server will record in its cache that www.google.com is the IP of the attacker (bb:bb:bb:bb) and every time a client requests the IP address of www.google.com, the DNS server will return the poisoned entry. Using DNS poisoning, an attacker can point users to wherever they want – however, most of the time, this technique is combined with website spoofing. For example, imagine a client trying to get access to their online bank account; a wireless router with a DNS poisoned server redirects the client’s request to the attacker. The attacker takes the request, modifies it and sends it to the legitimate bank, pretending to be the client. The bank will respond to the attacker with the client’s data and the bank account is compromised. ---------------------------------------------- Note for ELCD: please do not build the following questions – they are moved to 4.10 Knowledge Check and only kept here for reference Add quiz questions covering this topic to the end of week quiz. In the recursive approach, between steps 4 and 5, where does the authoritative DNS forward the response to? DNS Local DNS Root DNS TLD DNS Authoritative Correct is DNS TLD, for more information go to section x.x In the iterative approach, between steps 1 and 2, where does the Local DNS server check first? 'User DNS Local DNS Root DNS TLD DNS Authoritative Correct is DNS Root, for more information go to section x.x
[Source 2 | Week 4 | DNS and DNS cache poisoning | lecture | dist=0.801]
4.7 DNS and DNS cache poisoning Humans access information online through domain names, like nytimes.com or espn.com because we find it easier to remember these names rather than plain IP addresses. However, web browsers interact through Internet Protocol (IP) addresses. The Domain Name System translates domain names to IP addresses so browsers can load internet resources. [Key concept box] The Domain Name System (DNS) is like the phonebook of the internet. Each device connected to the internet has a unique IP address which other machines use to find the device. DNS servers eliminate the need for humans to memorise IP addresses such as 192.168.1.1 (in IPv4), or more complex, newer, alphanumeric IP addresses such as 2400:cb00:2048:1::c629:d7a2 (in IPv6). Historically, this mapping was kept in a local file. However, as the internet keeps evolving, it became necessary to create a system that was scalable. This is the DNS. DNS has a hierarchical structure composed of three servers. [Graphic – full-width] Figure: DNS server hierarchy: root server at the top, branching out into TLD servers, branching out into authoritative servers. Caption: [Card vertical (no image)] Root name server The root server is the first step in translating (resolving) human readable host names into IP addresses. It can be thought of like an index in a library that points to different aisles of bookshelves. Typically, it serves as a reference to other more specific locations. [Card vertical (no image)] TLD name server The top-level domain server (TLD) can be thought of as a specific shelf of books in a library. This name server is the next step in the search for a specific IP address, and it hosts the last portion of a hostname (in google.com, the TLD server is ‘com’). [Card vertical (no image)] Authoritative name server This final name server can be thought of as a dictionary on a shelf of books, in which a specific name can be translated into its definition. The authoritative name server is the last stop in the name server query. If the authoritative name server has access to the requested record, it will return the IP address for the requested hostname back to the DNS recursor (aka the librarian) that made the initial request. You’ll notice that a ‘DNS recursor’ was mentioned above, and compared to the librarian who was asked to go find a particular book in the library scenario. The DNS recursor is a server designed to receive queries from client machines through applications such as web browsers. Typically, the recursor is then responsible for making additional requests in order to satisfy the client’s DNS query. There are two ways to interrogate a DNS server: iteratively or recursively. Iterative approach Let's have a look at how an iterative approach works. DNS queries always start at the root. The root will direct your query to one of its TLD name servers. Then you make a query to the TLD name server, and that name server redirects you to one of the authoritative name servers.
[Source 3 | Week 3 | Knowledge check | quiz | dist=1.048]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4 | Week 5 | 3.16 Quiz week 1-3  Attempt review   KEATS | quiz | dist=1.066]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must maintain mappings for the entire DNS structure c. DNS servers are programmed to drop requests for name translations that are not within their zone d.DNS servers can cache recent queries to reduce DNS query traﬃc. Your answer is incorrect. What are some ways to prevent SYN spooﬁng attacks? a.All of the above b.Use selective or random dropping of TCP table entries c. None of the above d.Use SYN cookies e.Impose rate limits on network links f. Modify the size of the TCP connections table or timeout period Your answer is incorrect. v2 (latest) v2 (latest) Firewalls are what type of mechanisms? a.Botnet b.Attack c. Prevention d.None of the above Your answer is incorrect. The disadvantages of locating a honeypot in an internal network are: a.It leads to honey ﬁles, which are malicous byproducts of the prolonged use of the honeypot. b.If it is compromised, it can attack other internal systems and its location requires the outer ﬁrewall to permit traﬃc through its ﬁlters. c. It has little or no ability to trap internal attackers and it cannot detect a misconﬁgured ﬁrewall. d.It puts more load on the external ﬁrewall and on the resources of the internal system. e.It leads to a honey do list, which can ruin a Saturday. Your answer is incorrect. v2 (latest) v2 (latest) v2 (latest) Several analysis methods can be employed by an IDS, each with its own strengths and weaknesses, and their applicability to any given situation should be carefully considered. There are two basic IDS analysis methods that exist. Which of the basic method is more prone to false positive? a.Network-based intrusion detection b.Host-based intrusion detection c. Anomaly Detection d.Pattern Matching (also called signature analysis) Your answer is incorrect. In a TCP spooﬁng attack, attacker ideally wishes to use addresses that will not respond to the SYN-ACK with a RST. Select one: True False In the context of IDS systems a false negative is when a authorized user is identiﬁed as an intruder and a false positive is identiﬁed where intruders are not identiﬁed as intruders. Select one: True False v2 (latest) The SNORT system is a signature-based NIDS. Select one: True False 
[Source 5 | Week 4 | Cyber M3 Week 4 outline | outline | dist=1.08]
Note for the Module lead: please focus on the subheading titles and the structure. The columns entitled ‘Activity labels’ and ‘Delivery format’ are for the King’s Digital build team. Week 4: Hijacking and poisoning attacks No. Activity title Activity label/s [Media / Group / Assessed] Delivery format Welcome to week 4 4.1 Overview and learning outcomes KEATS book 4.2 Week 4 general discussion KEATS forum Hijacking and poisoning 4.3 TCP session hijacking KEATS book 4.4 Example of routing in real life KEATS book 4.5 BGP protocol media KEATS book 4.6 Routing black holes media KEATS forum 4.7 DNS and DNS cache poisoning KEATS book 4.8 Demo: using Cain and Abel for ARP spoofing and DNS poisoning media KEATS book Virtual lab 4.9 Virtual Lab Group KEATS book Consolidation and reflection 4.10 Knowledge check KEATS quiz 4.11 Reflect on your learning KEATS questionnaire 4.12 This week’s webinar KEATS book</t>
        </is>
      </c>
      <c r="R33" s="25" t="inlineStr">
        <is>
          <t>Medium | 0.948</t>
        </is>
      </c>
      <c r="S33" s="25" t="n">
        <v>3</v>
      </c>
    </row>
    <row r="34" ht="57.75" customHeight="1" s="26">
      <c r="A34" s="39" t="n">
        <v>33</v>
      </c>
      <c r="B34" s="40" t="inlineStr">
        <is>
          <t>Week 4</t>
        </is>
      </c>
      <c r="C34" s="33" t="inlineStr">
        <is>
          <t>Medium</t>
        </is>
      </c>
      <c r="D34" s="40" t="inlineStr">
        <is>
          <t>Session hijacking</t>
        </is>
      </c>
      <c r="E34" s="40" t="inlineStr">
        <is>
          <t>What is the difference between active and passive session hijacking?</t>
        </is>
      </c>
      <c r="F34" s="40" t="inlineStr">
        <is>
          <t>Active = inject/take over; Passive = monitor/record without altering</t>
        </is>
      </c>
      <c r="G34" s="40" t="inlineStr">
        <is>
          <t>No</t>
        </is>
      </c>
      <c r="H34" s="31" t="inlineStr">
        <is>
          <t>Based on the course materials, especially from Source 4 | Week 4 | TCP session hijacking (lecture), active and passive session hijacking can be differentiated as follows:
Active session hijacking involves an attacker intercepting packets between two parties and taking control of the session by injecting their own data. This is a more complex attack, especially if the attacker is off-path, as they need to predict the sequence number and guess it if they don't see it.
Passive session hijacking, on the other hand, involves an attacker hijacking a session without altering the data. They simply listen to the communication between two parties without modifying it. The attacker can then use the information gathered to their advantage.
For example, in a passive session hijacking attack, the attacker can capture the initial authentication phase and use that information to pretend to be the client or server in future interactions.</t>
        </is>
      </c>
      <c r="I34" s="31" t="n">
        <v>3</v>
      </c>
      <c r="J34" s="31" t="n">
        <v>2</v>
      </c>
      <c r="K34" s="31" t="n">
        <v>5</v>
      </c>
      <c r="L34" s="31" t="n">
        <v>3</v>
      </c>
      <c r="M34" s="31" t="n">
        <v>36.86</v>
      </c>
      <c r="N34" s="31" t="inlineStr">
        <is>
          <t>Low</t>
        </is>
      </c>
      <c r="O34" s="31" t="inlineStr">
        <is>
          <t>Y</t>
        </is>
      </c>
      <c r="P34" s="31" t="inlineStr">
        <is>
          <t>False trigger: the substring "session hijacking" matched the dependency graph and probed TCP handshake, but the question does not depend on it; M2 2/5: answer asserts more than the retrieved chunks support.</t>
        </is>
      </c>
      <c r="Q34" s="32" t="inlineStr">
        <is>
          <t>[Source 1 | Week 5 | Quiz week 1-5 | quiz | dist=1.112]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2 | Week 1 | Knowledge check | quiz | dist=1.21]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1 | Network attacks | lecture | dist=1.211]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4 | TCP session hijacking | lecture | dist=1.29]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5 | Week 5 | Quiz week 1-5 | quiz | dist=1.293]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t>
        </is>
      </c>
      <c r="R34" s="25" t="inlineStr">
        <is>
          <t>Low | 1.223</t>
        </is>
      </c>
      <c r="S34" s="25" t="n">
        <v>3</v>
      </c>
    </row>
    <row r="35" ht="57.75" customHeight="1" s="26">
      <c r="A35" s="39" t="n">
        <v>34</v>
      </c>
      <c r="B35" s="40" t="inlineStr">
        <is>
          <t>Week 4</t>
        </is>
      </c>
      <c r="C35" s="33" t="inlineStr">
        <is>
          <t>Medium</t>
        </is>
      </c>
      <c r="D35" s="40" t="inlineStr">
        <is>
          <t>MITM attacks</t>
        </is>
      </c>
      <c r="E35" s="40" t="inlineStr">
        <is>
          <t>What is a man-in-the-middle attack and what does it enable?</t>
        </is>
      </c>
      <c r="F35" s="40" t="inlineStr">
        <is>
          <t>Intercept comms between two parties; read/modify/relay transparently</t>
        </is>
      </c>
      <c r="G35" s="40" t="inlineStr">
        <is>
          <t>No</t>
        </is>
      </c>
      <c r="H35" s="31" t="inlineStr">
        <is>
          <t>A man-in-the-middle (MITM) attack is a type of active attack where an attacker intercepts and alters the communication between two parties, making it appear as if the communication is still legitimate. This is achieved by spoofing the MAC address of a device, allowing the attacker to appear as a valid device on the network.
A classic example of a MITM attack is ARP spoofing, where an attacker sends a fake ARP response to the target device, poisoning the ARP cache and allowing the attacker to intercept traffic intended for the victim. This enables the attacker to read and alter sensitive information, inject malware, or steal credentials.
MITM attacks enable the attacker to:
* Intercept and read sensitive information, such as passwords and confidential data
* Inject malware or viruses into the target device
* Take over the victim's device or steal their credentials
* Alter or modify communication, making it appear as if the communication is still legitimate
This can lead to serious consequences, including data breaches, financial losses, and compromised sensitive information.</t>
        </is>
      </c>
      <c r="I35" s="31" t="n">
        <v>5</v>
      </c>
      <c r="J35" s="31" t="n">
        <v>3</v>
      </c>
      <c r="K35" s="31" t="n">
        <v>5</v>
      </c>
      <c r="L35" s="31" t="n">
        <v>2</v>
      </c>
      <c r="M35" s="31" t="n">
        <v>25.86</v>
      </c>
      <c r="N35" s="31" t="inlineStr">
        <is>
          <t>Low</t>
        </is>
      </c>
      <c r="O35" s="31" t="inlineStr">
        <is>
          <t>N</t>
        </is>
      </c>
      <c r="P35" s="31" t="inlineStr">
        <is>
          <t>M4 2/5: retrieved chunks largely off-topic for this question; Under-confident: Low band on a 5/5 answer (mean distance 1.17 above the 1.1 cut-off).</t>
        </is>
      </c>
      <c r="Q35" s="32" t="inlineStr">
        <is>
          <t>[Source 1 | Week 3 | Knowledge check | quiz | dist=1.037]
‘command &amp; control’) is able to direct the activities of each compromised device (known as a ‘bot’) using network protocols like HTTP. Botnets are used for distributed denial of service (DDoS) attacks and other types of attacks (spam, data theft, etc). [Multiple choice question] Question Question number: 8 Question text: Imagine you are a network administrator. You see a familiar IP address pinging the broadcast address. What could be possibly happening in this case? Settings Number of answers: [One/Multiple] Shuffle answers? [Yes/No] Answers (Please highlight the correct answer) Feedback (Optional feedback for each individual answer) A man-in-the-middle attack. An ARP spoofing attack. A smurfing attack. A DNS poisoning attack. General Feedback A smurf attack is a distributed denial-of-service (DDoS) attack in which large numbers of Internet Control Message Protocol (IMCP) packets with the intended victim's spoofed source IP are broadcast to a computer network using an IP broadcast address. ICMP packets are typically used to PING computers within a LAN; PING is a utility used to test the reachability of a host on a network. [Multiple choice question] Question Question number: 9 Question text: What is a SYN flooding attack? Settings Number of answers: [One/Multiple] Shuffle answers? [Yes/No] Answers (Please highlight the correct answer) Feedback (Optional feedback for each individual answer) A DoS attack that cannot be used jointly with IP spoofing. An attack that requires a modification of the TCP layer (lever 4 OSI) of the server. A buffer overflow attack. A DoS attack that can be used jointly with IP spoofing. General Feedback A SYN flooding attack works by sending a high volume of SYN requests to the targeted server, often with spoofed IP addresses, but not responding to the server with the expected ACK code.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[Source 2 | Week 3 | ARP protocol and ARP spoofing | lecture | dist=1.119]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3 | Week 3 | Virtual lab | lab_instructions | dist=1.219]
at taking down a web server. These attacks keep TCP sessions open by taking advantage of how TCP connections and HTTP requests work. For example, in a SYN flood attack, the attacker sends a flood of TCP SYN packets to a server but never completes the handshake by replying with the final ACK. This leaves the server waiting with half-open connections that use up its resources. This is the attack you will practice in the next week’s lab. In other cases, like Slowloris or slowhttptest, the attacker does complete the handshake but then sends HTTP requests extremely slowly or never finishes sending them at all. Because the HTTP protocol requires the entire request to be received before it’s processed, the server patiently keeps the TCP session open, waiting for the missing data. As more of these incomplete or slow connections pile up, the server becomes overloaded and unable to handle legitimate users, causing a denial of service. Setting up the environment You will need two virtual machines: the ATTACKER machine and the VICTIM machine running web server nginx. To run a ngnix server on the VICTIM machine, type the command: $ sudo apt install nginx $ sudo systemctl start nginx To check the running service, you can use command: $ sudo systemctl status nginx or $ sudo netstat -tunap The next step is to verify that your web server is accessible via HTTP. For this, open the browser and go to the address of your virtual machine &lt;IP of VICTIM&gt; which can be checked by running the ip add command. You should be able to see the Apache2 Debian Default webpage. At the &lt;ATTACKER&gt; machine, open terminal and also check the connectivity to the web server. wget is preferred in this experiment because it does not rely on any caching and it clearly indicates when the request succeeds. wget http://&lt;IP of VICTIM&gt; You should be able to see the confirmation of the successful connection. Using Slowloris attack The first attack is a Slowloris attack that works by sending partial HTTP requests to a server, keeping connections open as long as possible by slowly sending more HTTP headers or data but never completing the request. Because the server waits for the full request, it keeps connections open, exhausts the maximum number of concurrent connections, making it unable to handle legitimate requests. Install Slowloris script on the &lt;ATTACKER&gt; machine: # pip3 install slowloris Start the Slowloris attack: # slowloris -–sleeptime 5 -s 1000 &lt;IP of VICTIM&gt; The 1000 indicates that the attack should open 1000 separate connections and keep them running through keepalive probes (the period between keepalive probes is also configurable). The sleeptime 5 will send a keepalive every 5 seconds. Observe the connection to the web server: wget http://&lt;IP of VICTIM&gt; The request is likely to either timeout or return the page content but only after a long period. Stop the attack by pressing the ctrl + c keys. Using slowhttptest You can repeat same attack by using slowhttptest utility.
[Source 4 | Week 5 | Quiz week 1-5 | quiz | dist=1.233]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5 | Week 1 | Knowledge check PDF | quiz | dist=1.243]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t>
        </is>
      </c>
      <c r="R35" s="25" t="inlineStr">
        <is>
          <t>Low | 1.17</t>
        </is>
      </c>
      <c r="S35" s="25" t="n">
        <v>3</v>
      </c>
    </row>
    <row r="36" ht="57.75" customHeight="1" s="26">
      <c r="A36" s="39" t="n">
        <v>35</v>
      </c>
      <c r="B36" s="40" t="inlineStr">
        <is>
          <t>Week 4</t>
        </is>
      </c>
      <c r="C36" s="33" t="inlineStr">
        <is>
          <t>Medium</t>
        </is>
      </c>
      <c r="D36" s="40" t="inlineStr">
        <is>
          <t>DHCP attacks</t>
        </is>
      </c>
      <c r="E36" s="40" t="inlineStr">
        <is>
          <t>What is DHCP cache poisoning and how does it work?</t>
        </is>
      </c>
      <c r="F36" s="40" t="inlineStr">
        <is>
          <t>Rogue DHCP server gives false config; redirects client traffic</t>
        </is>
      </c>
      <c r="G36" s="40" t="inlineStr">
        <is>
          <t>No</t>
        </is>
      </c>
      <c r="H36" s="31" t="inlineStr">
        <is>
          <t>DHCP cache poisoning is not explicitly mentioned in the provided course material. However, it is mentioned in Source 5 (Week 5 | 3.16 Quiz week 1-3) among other options, with the correct answer being "c. ARP cache poisoning". According to this source, ARP cache poisoning involves altering a system's Address Resolution Protocol (ARP) table so that it contains incorrect IP to MAC address mappings.
There is no direct explanation of how DHCP cache poisoning works, but the context suggests it is related to manipulating ARP entries, which could be used in combination with a DHCP attack to achieve the attacker's goals.
Since the relevant information is not explicitly provided in the material, I must rely on external knowledge to understand how DHCP cache poisoning might work in conjunction with DHCP attacks. Therefore, my confidence in providing an accurate answer based on the provided context is low.</t>
        </is>
      </c>
      <c r="I36" s="31" t="n">
        <v>1</v>
      </c>
      <c r="J36" s="31" t="n">
        <v>3</v>
      </c>
      <c r="K36" s="31" t="n">
        <v>2</v>
      </c>
      <c r="L36" s="31" t="n">
        <v>4</v>
      </c>
      <c r="M36" s="31" t="n">
        <v>28.87</v>
      </c>
      <c r="N36" s="31" t="inlineStr">
        <is>
          <t>Low</t>
        </is>
      </c>
      <c r="O36" s="31" t="inlineStr">
        <is>
          <t>N</t>
        </is>
      </c>
      <c r="P36" s="31" t="inlineStr">
        <is>
          <t>M1 1/5: misses or contradicts the must-include concepts.</t>
        </is>
      </c>
      <c r="Q36" s="32" t="inlineStr">
        <is>
          <t>[Source 1 | Week 3 | DHCP attacks | lecture | dist=0.726]
DHCP starvation Now let’s look at an attack aimed at the DHCP protocol. DHCP starvation is a situation where the DHCP server, which is in charge of distributing IP addresses and their configuration, is not able to fulfil its job as it is receiving too many requests. In a DHCP starvation attack, an attacker needs to broadcast a large number of DHCP REQUEST messages using spoofed source MAC addresses. The ultimate goal of the attacker is to make the DHCP server unable to answer legitimate requests: This can be considered as an attack on the availability of the DHCP Server. This can be seen as the first step to perform a DHCP spoofing attack. Once the available number of IP addresses in the DHCP server is depleted, network attackers can set up a rogue DHCP server and respond to new DHCP requests from network DHCP clients. The rogue server starts distributing IP addresses and other TCP/IP configuration settings including default Gateway and DNS server IP addresses, which can now point to an IP address controller by the attacker. This can facilitate MITM and sniffing attacks. In the following video, Dr Ievgeniia Kuzminykh will demonstrate how DHCP starvation works in practice. Please note that this video contains visual demonstrations that may not be fully accessible for some students. You are encouraged to watch the video, but it is not required for your success in this course. This video is from a webinar recording from the previous module (LD: only if video is KD-produced, not needed for 3rd party videos) Demo: DHCP starvation Dr Ievgeniia Kuzminykh Senior Lecturer in Cybersecurity Education View transcript Dr Ievgeniia Kuzminykh | Senior Lecturer in Cybersecurity Education Hello everybody, this is a short demonstration of DHCP starvation attack that should be successful this time. First we check the configuration of the network. This is the IP of our machine. And also we have a file that's supposed to exhaust DHCP pool from the full gateway which is our DHCP server. Changing MAC addresses and requesting sending a new DHCP request to DHCP server. So first in the webinar we tried utility MAC off. But a TCP dump showed that it was just a random generation of different MAC addresses and IP source and destinations, but a pool was not exhausted. This time, we will run this manually created bash script to perform this attack. So we have our files in the documents, and now we can basically run with sudo our dhcpstarve file shellcode and we can perform with delay of one second sending a DHCP request. Requests messages DHCP discover., DHCP requests and DHCP offers from our DHCP server. Then we could see that DHCP discover message – first message in DHCP protocol – is sending but we receive any respond. That means that pool is already exhausted so – server run out of all IP addresses from the pool. Our mask was 28; that means that we had only 14 available addresses, and when they
[Source 2 | Week 3 | DHCP attacks | lecture | dist=0.796]
message – first message in DHCP protocol – is sending but we receive any respond. That means that pool is already exhausted so – server run out of all IP addresses from the pool. Our mask was 28; that means that we had only 14 available addresses, and when they run out, we can calculate here all our requests and totally it will be 14. And then it starts to send requests but haven't received any offers from the server. So this is how I formed this DHCP starvation attack. And about protection mechanism, we also discussed in the lecture that we need to enable DHCP snooping.
[Source 3 | Week 3 | DHCP attacks | lecture | dist=0.9]
3.6 DHCP attacks Here’s a brief overview of how the DHCP protocol operates. Compare it to your diagram and explanation from the ‘Study the DHCP protocol’ activity. DHCP protocol [Graphic – full-width] Note for ELVD: please could you make DISCOVERY, OFFER, REQUEST and ACKNOWLEDGE lower-case Figure: See the description below. Caption: [View description] View description A diagram showing the DHCP protocol exchange between client and server. Two parallel downwards arrows represent ‘client’ and ‘server’; a third downwards arrow on the right represents ‘time’. Starting from the top of the parallel client and server arrows: an arrow labelled ‘discovery’ points from the client to the server then, moving down, a second arrow labelled ‘offer’ points from the server to the client a third arrow labelled ‘request’ again points from the client to the server lastly, an arrow labelled ‘acknowledge’ points from the server to the client. The DHCP client broadcasts a DHCP DISCOVER message on the network subnet using the destination address 255.255.255.255 (limited broadcast) or the specific subnet broadcast address (directed broadcast). A DHCP client may also request its last known IP address. If the client remains connected to the same network, the server may grant the request. Otherwise, it depends on whether the server is set up. When a DHCP server receives a DHCP DISCOVER message from a client, which is an IP address lease request, the DHCP server reserves an IP address for the client and makes a lease offer by sending a DHCP OFFER message to the client. This message contains the client's client id (traditionally a MAC address), the IP address that the server is offering, the subnet mask, the lease duration, and the IP address of the DHCP server making the offer. In response to the DHCP offer, the client replies with a DHCP REQUEST message, broadcast to the server, requesting the offered address. A client can receive DHCP offers from multiple servers, but it will accept only one DHCP offer. Based on the required server identification option in the request and broadcast messaging, servers are informed whose offer the client has accepted. When other DHCP servers receive this message, they withdraw any offers that they have made to the client and return the offered IP address to the pool of available addresses. When the DHCP server receives the DHCP REQUEST message from the client, the configuration process enters its final phase. The acknowledgement phase involves sending a DHCP ACK packet to the client. This packet includes the lease duration and any other configuration information that the client might have requested. At this point, the IP configuration process is completed. The protocol expects the DHCP client to configure its network interface with the negotiated parameters. DHCP starvation Now let’s look at an attack aimed at the DHCP protocol. DHCP starvation is a situation where the DHCP server, which is in charge of distributing IP addresses and their configuration, is not able to fulfil its job as it is receiving too many requests. In a DHCP
[Source 4 | Week 3 | Virtual lab | lab_instructions | dist=1.003]
MAC addresses continuously. Once it stops, the switch’s timer clears the bogus entries, and it goes back to normal switching behaviour. This attack can be a useful tool for ethical hacking demonstrations, but the results can vary depending on the switch: Some switches will fail open and act like a hub. Others may have protections in place and ignore the bogus entries. Some switches might even crash or reboot. Protecting against CAM table flooding To protect against CAM table flooding, network administrators should enable switchport port security on switches. This feature limits the number of MAC addresses that can be learned on a single port, preventing attackers from overwhelming the CAM table with bogus entries. Switchport security can also help defend against ARP table flooding and spoofing by restricting which MAC addresses are allowed on a port and shutting down or restricting a port if suspicious activity is detected. To see how it is configured, go to second part of this week’s demo ‘ARP spoofing and protection’. We will introduce how it is configured on the switches shortly. [new page] 3. DHCP starvation In this part of the lab, you are going to conduct a DHCP starvation attack, where the attacker broadcasts a large number of DHCP REQUEST messages with spoofed source MAC addresses. If the legitimate DHCP server in the network starts responding to all these bogus DHCP REQUEST messages, available IP addresses in the DHCP server pool will be exhausted within a very short span of time. Once the available number of IP addresses in the DHCP server is depleted, network attackers can then set up a rogue DHCP server and respond to new DHCP requests from network DHCP clients. By setting up a rogue DHCP server, the attacker can now launch a DHCP spoofing attack. Setting up the environment For this practical, we will use several tools: Wireshark, which you already used in a previous lab, several utilities to perform DHCP starvation and the bash script with manual instructions for the attack. Your machine has the role of a DHCP client, and the default gateway plays the role of a DHCP server. First, you will probably have the IP address on your machine, you can verify it using ifconfig or ip addr commands. Examining DHCP starvation tools One of the tools we are going to explore is Yersinia, a framework for performing layer 2 attacks which analyses and tests the deployed network and systems. It consists of various layer 2 attacks for exploiting the weaknesses of different layer 2 protocols. The first step is to install Yersinia, as by default it is not available in Kali. $ sudo apt-get install yersinia Rerun Wireshark to capture the traffic of a new attack. You can also use the tcpdump tool, which you explored in the previous week, by typing the command: $ sudo tcpdump -i eth0 -n port 67 In the terminal window, sudo to root and run the command (the option is capital i , not lowercase L)
[Source 5 | Week 5 | 3.16 Quiz week 1-3  Attempt review   KEATS | quiz | dist=1.014]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t>
        </is>
      </c>
      <c r="R36" s="25" t="inlineStr">
        <is>
          <t>Medium | 0.888</t>
        </is>
      </c>
      <c r="S36" s="25" t="n">
        <v>1</v>
      </c>
    </row>
    <row r="37" ht="57.75" customHeight="1" s="26">
      <c r="A37" s="39" t="n">
        <v>36</v>
      </c>
      <c r="B37" s="40" t="inlineStr">
        <is>
          <t>Week 4</t>
        </is>
      </c>
      <c r="C37" s="33" t="inlineStr">
        <is>
          <t>Medium</t>
        </is>
      </c>
      <c r="D37" s="40" t="inlineStr">
        <is>
          <t>Session hijacking</t>
        </is>
      </c>
      <c r="E37" s="40" t="inlineStr">
        <is>
          <t>What is the difference between network-level and application-level hijacking?</t>
        </is>
      </c>
      <c r="F37" s="40" t="inlineStr">
        <is>
          <t>Network = TCP sequence; Application = steal HTTP session tokens</t>
        </is>
      </c>
      <c r="G37" s="40" t="inlineStr">
        <is>
          <t>No</t>
        </is>
      </c>
      <c r="H37" s="31" t="inlineStr">
        <is>
          <t>Based on the course material provided, network-level hijacking is discussed in the context of BGP hijacking, specifically in Week 5's lecture on BGP hijacking. BGP hijacking occurs when an autonomous system (AS) announces false routes to IP prefixes that it does not actually control, causing traffic to be directed to the wrong subnet or to a black hole. This type of hijacking is a network-level issue, as it involves modifying BGP routing tables and influencing the flow of internet traffic.
Application-level hijacking, on the other hand, is not explicitly discussed in the provided course material. However, we can infer that application-level hijacking would involve intercepting or manipulating application-level data, such as email messages or web requests, rather than modifying routing tables or manipulating network traffic at a higher level.
A key distinction between network-level hijacking and application-level hijacking is the level of abstraction at which the attack occurs. Network-level hijacking affects the flow of traffic at a network level, whereas application-level hijacking would target specific applications or services.
From Week 5's lecture on types of firewalls, however, we know that an application-level gateway (proxy server) operates at the application layer (layer 7) of the OSI model, inspecting incoming application data and controlling access to specific services. While this does not explicitly discuss application-level hijacking, it suggests that application-level access control and inspection are possible.
Based on the provided sources, I must admit that the distinction between network-level and application-level hijacking is not exhaustively addressed. However, I can make an educated inference that network-level hijacking involves higher-level, routing-table-based attacks, whereas application-level hijacking would target specific applications or services.</t>
        </is>
      </c>
      <c r="I37" s="31" t="n">
        <v>1</v>
      </c>
      <c r="J37" s="31" t="n">
        <v>3</v>
      </c>
      <c r="K37" s="31" t="n">
        <v>2</v>
      </c>
      <c r="L37" s="31" t="n">
        <v>1</v>
      </c>
      <c r="M37" s="31" t="n">
        <v>29.1</v>
      </c>
      <c r="N37" s="31" t="inlineStr">
        <is>
          <t>Medium</t>
        </is>
      </c>
      <c r="O37" s="31" t="inlineStr">
        <is>
          <t>N</t>
        </is>
      </c>
      <c r="P37" s="31" t="inlineStr">
        <is>
          <t>M4 1/5: retrieved chunks largely off-topic for this question; M1 1/5: misses or contradicts the must-include concepts.</t>
        </is>
      </c>
      <c r="Q37" s="32" t="inlineStr">
        <is>
          <t>[Source 1 | Week 5 | Types of firewalls – part 2 | lecture | dist=1.038]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2 | Week 1 | Knowledge check | quiz | dist=1.076]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3 | Week 3 | ARP protocol and ARP spoofing | lecture | dist=1.097]
can be seen as an active technique for intercepting traffic. In a MAC flooding attack, a switch is fed many Ethernet frames, each containing different spoofed source MAC addresses to consume the limited memory in the switch (failopen mode) and force significant quantities of incoming frames to be flooded out on all ports (as with a hub), instead of just down the correct port as per normal operation.
[Source 4 | Week 5 | Types of firewalls – part 2 | lecture | dist=1.111]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5 | Week 4 | BGP hijacking | lecture | dist=1.111]
[KEATS forum] 4.6 BGP hijacking Why BGP is unsafe BGP was designed in the early days of the internet, when trust between networks was assumed, and is built on the assumption that interconnected networks are telling the truth about which IP addresses they own. By default, it has no built-in security or authentication, any autonomous system can advertise any route, and others will accept it unless they manually filter it. This creates two major risks: Route leaks: this type of risk occurs when an AS accidentally announces routes it shouldn’t, sending traffic through the wrong paths and making some networks unreachable. BGP hijacking: this type of risk occurs when the attackers maliciously reroute internet traffic. Attackers accomplish this by falsely announcing ownership of groups of IP addresses, called IP prefixes, that they do not actually own, control or route to. A BGP hijack is much like if someone were to change out all the signs on a stretch of motorway and reroute automobile traffic onto incorrect exits. Because the internet relies on thousands of ASes constantly exchanging route updates, even a small error or malicious action can cause large-scale outages or traffic redirection. In the following video, Dr Hannah Cao explains how the BGP routes can be hijacked. Start from 12:50 till 16:31 ------- Final video Kaltura link: W4.6 BGP Route Hijacking - King’s College London (LD: only if video is KD-produced, not needed for 3rd party videos) BGP Route Hijacking Dr Hannah Cao Senior Lecturer in Computer Science Education View transcript Dr Hannah Cao | Senior Lecturer in Computer Science Education BGP route hijacking or prefix hijacking happens when an autonomous system announces route to IP prefixes that it does not actually control. Such false information is added to routine tables in BGP routers across the Internet, causing traffic being directed to the wrong subnet or to a blackhole. Let's carry on with the diagram we saw just now, where AS80 is able to route to subnet 10.100.0.0/16 and has sent out a BGP route advertisement to AS180. Imagine there are two more AS in the pictures, AS70 and AS20. AS20 is a malicious one and decides to mount a BGP route hijacking attack. AS20 lies about its reachability to the subnet 10.100.0.0/16 by establishing eBGP connections with gateway routers in AS70 and AS180, except one, as shown by the red connection in the diagram, after successfully blocking or hijacking the TCP connections between gateway routers in AS80 and AS180. And such false information will be propagated across all the routers or the BGP routers on the Internet. Sometimes, BGP route hijacking happens in the form of BGP sub-prefix hijacking. When the attacker lies about a subset of the prefix rather than the whole prefix belonging to another autonomous system. In the diagram, which we saw just now, AS20, the malicious one, announces that it can route to the subnet 10.100.0.0/24, instead of /16. In this case, AS20 does not need to interfere with the eBGP connections between gateway</t>
        </is>
      </c>
      <c r="R37" s="25" t="inlineStr">
        <is>
          <t>Medium | 1.087</t>
        </is>
      </c>
      <c r="S37" s="25" t="n">
        <v>2</v>
      </c>
    </row>
    <row r="38" ht="57.75" customHeight="1" s="26">
      <c r="A38" s="39" t="n">
        <v>37</v>
      </c>
      <c r="B38" s="40" t="inlineStr">
        <is>
          <t>Week 4</t>
        </is>
      </c>
      <c r="C38" s="34" t="inlineStr">
        <is>
          <t>Hard</t>
        </is>
      </c>
      <c r="D38" s="40" t="inlineStr">
        <is>
          <t>Session hijacking</t>
        </is>
      </c>
      <c r="E38" s="40" t="inlineStr">
        <is>
          <t>What is a TCP sequence number and why does it matter for hijacking?</t>
        </is>
      </c>
      <c r="F38" s="40" t="inlineStr">
        <is>
          <t>Tracks packet order; predicting it lets attacker inject packets</t>
        </is>
      </c>
      <c r="G38" s="40" t="inlineStr">
        <is>
          <t>Yes - TCP handshake</t>
        </is>
      </c>
      <c r="H38" s="31" t="inlineStr">
        <is>
          <t>A TCP sequence number is a 32-bit value that specifies the number assigned to the first byte of data in the current message. It is used to identify the stream flowing in the same direction as the segment. For the sender, the sequence number is used to track the bytes that have been sent, while for the receiver, it is used to track which bytes are expected.
In the context of TCP session hijacking, the sequence number matters because it allows an attacker to predict and exploit the sequence number to inject false data into a stream. This can be done in two scenarios:
- When an attacker is on-path, the sequence number can be calculated from the packets sniffed from the network. The attacker can then inject data that will be considered as the next sequence number.
- When an attacker is off-path, the prediction of the sequence number is not trivial. However, the attacker can use IP spoofing techniques to send data to the server, pretending to be the client. In this case, the sequence number has to be guessed, as the attacker cannot see the actual sequence number sent by the server.
This is because, according to the TCP standard (RFC 793), the initial sequence number (ISN) is generated using a 32-bit clock, which cycles approximately every 4.55 hours. This means that ISNs will be unique for at least 4.55 hours, making them predictable if an attacker is on-path.
However, when an attacker is off-path, guessing the sequence number is much harder, as they do not have access to the actual sequence number sent by the server. In this case, the attacker must guess the sequence number, which is a challenging task.
We can see this process in more detail in Week 4, TCP session hijacking (lecture) and Week 4, TCP session hijacking (lecture) which describe the hijacking of a TCP connection using sequence number guessing. They also show a diagram illustrating how a TCP session can be hijacked.
Also, in Week 4, TCP session hijacking (lecture), it is explained how a legitimate connection can be established with the server before spoofing the client. The attacker would see the initial sequence number that the server wants to use in their connection, and they could easily guess what the next sequence number for another connection would be based on the implementation.
Lastly, Week 5, Types of firewalls – part 2 (lecture) mentions that stateful packet inspection, also known as dynamic packet filtering, can track the state of network connections, including TCP streams.</t>
        </is>
      </c>
      <c r="I38" s="31" t="n">
        <v>5</v>
      </c>
      <c r="J38" s="31" t="n">
        <v>5</v>
      </c>
      <c r="K38" s="31" t="n">
        <v>4</v>
      </c>
      <c r="L38" s="31" t="n">
        <v>4</v>
      </c>
      <c r="M38" s="31" t="n">
        <v>30.61</v>
      </c>
      <c r="N38" s="31" t="inlineStr">
        <is>
          <t>High</t>
        </is>
      </c>
      <c r="O38" s="31" t="inlineStr">
        <is>
          <t>N</t>
        </is>
      </c>
      <c r="P38" s="31" t="inlineStr">
        <is>
          <t>Missed trigger: the phrasing contains no dependency-graph keyword for TCP handshake, so the probe did not fire.</t>
        </is>
      </c>
      <c r="Q38" s="32" t="inlineStr">
        <is>
          <t>[Source 1 | Week 4 | TCP session hijacking | lecture | dist=0.673]
4.3 TCP session hijacking TCP Before seeing the TCP session hijacking attack, we need to understand a bit more about the TCP protocol of the transport layer of the OSI model. The Transmission Control Protocol (TCP) is one of the main protocols that we can find in the OSI model. The TCP packet format consists of the following fields: Source Port and Destination Port fields (16 bits each) identify the endpoints of the connection. Sequence Number field (32 bits) specifies the number assigned to the first byte of data in the current message. Under certain circumstances, it can also be used to identify an initial sequence number to be used in the upcoming transmission. Acknowledgement Number field (32 bits) contains the value of the next sequence number that the sender of the segment is expecting to receive, if the ACK control bit is set. Note that the sequence number refers to the stream flowing in the same direction as the segment, while the acknowledgement number refers to the stream flowing in the opposite direction from the segment. Data Offset field (variable length), also known as Header Length, tells us how many 32-bit words are contained in the TCP header. This information is needed because the Options field has a variable length, so the header length is variable too. Reserved field (6 bits) must be zero. This is for future use. Flags field (6 bits) contains the various flags: URG – indicates that some urgent data have been placed. ACK – indicates that acknowledgement number is valid. PSH – indicates that data should be passed to the application as soon as possible. RST – resets the connection. SYN – synchronises sequence numbers to initiate a connection. FIN – means that the sender of the flag has finished sending data. Window field (16 bits) specifies the size of the sender's receive window (that is the buffer space available for incoming data). Checksum field (16 bits) indicates whether the header was damaged in transit. Urgent pointer field (16 bits) points to the first urgent data byte in the packet. Options field (variable length) specifies various TCP options. Data field (variable length) contains upper-layer information. TCP connection hijacking We know that the Three-Way Handshaking process negotiates the opening of a new connection between two parties. A scenario that has been called TCP connection hijacking sees the attacker trying to hijack the connection between a client and a server. If the timing of the attacker is correct, it would be able to alter the TCP stream without the receiver realising the alteration has taken place. However, in order to do so, the attacker needs to know the sequence number. The prediction of the sequence number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[Source 2 | Week 5 | Types of firewalls – part 2 | lecture | dist=0.776]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TCP connection between client and server, in which the TCP server port number, which identifies the SMTP server application, is 25. The TCP port number for the SMTP client is a number between 1024 and 65535 that is generated by the SMTP client. In general, when an application that uses TCP creates a session with a remote host, it creates a TCP connection in which: The TCP port number for remote application (the server) is a number less than 1024 The TCP port number for local application (the client) is a number between 1024 and 65535. Numbers below 1024 are ‘well-known’ port numbers and are assigned permanently to particular applications (eg 25 for server SMTP). Numbers 1024–65535 are generated dynamically and have temporary significance only for the lifetime of a TCP connection. A simple packet filtering firewall must permit inbound network traffic on all these high-numbered ports for TCP-based traffic to occur. This creates a vulnerability that can be exploited by unauthorised users. Stateful packet inspection, also known as dynamic packet filtering, is designed to provide an additional layer of network security. It aims to monitor the active connections on a network. Moreover, the process of stateful inspection determines which network packets should be allowed through the firewall by utilising the information regarding active connections. Stateful inspection keeps track of each connection and constantly checks if they are valid. A stateful firewall keeps track of the state of network connections, such as TCP streams, UDP datagrams and ICMP messages, and can apply labels such as LISTEN, ESTABLISHED, or CLOSING. For example, it tracks TCP connections by examining packet contents during the handshake stages: SYN, SYN-ACK, and ACK. From the user’s perspective, once it has seen one packet (SYN), it considers the connection as NEW. Once it sees the return packet (SYN/ACK), it considers the connection as ESTABLISHED. Pause and think about the reasoning behind this process. With this particular implementation, you can allow NEW and ESTABLISHED packets to leave your local network, while only ESTABLISHED ones are allowed back, preventing unauthorised inbound connections. State table entries are created for TCP streams or UDP datagrams that are allowed to communicate through the firewall in accordance with the configured security policy. Once in the table, all related packets of a stored session are streamlined, taking fewer CPU cycles than a standard inspection. Related packets are also permitted to return back through the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[Source 3 | Week 4 | TCP session hijacking | lecture | dist=0.777]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number (ISN) generator is employed which selects a new 32-bit ISN. The generator is bound to a (possibly fictitious) 32-bit clock whose low order bit is incremented roughly every 4 microseconds. Thus, the ISN cycles approximately every 4.55 hours. Since we assume that segments will stay in the network no more than the maximum segment lifetime (MSL), and that the MSL is less than 4.55 hours, we can reasonably assume that ISNs will be unique. That is, the sequence numbers should not repeat for at least 4.55 hours. This is to ensure that undelivered packets from previous connections that arrive late do not overlap with current connections. Is it therefore possible for the attacker to guess the initial sequence number? The answer is yes. Since the protocol is open, all the specifications are public and it is possible to calculate the sequence number as it is just a mathematical operation. Even if the protocol is public, some operative systems can decide to implement it differently, as BSD (see note below) did. So, in this case, what can the attacker do? For instance, what if the attacker created a legitimate connection with the server before spoofing the client? The attacker would see the initial sequence number that the server wants to use in their connection, and they could easily guess what the next sequence number for another connection would be based on the implementation. [Side note] Note on the BSD acronym Berkeley Software Distribution (BSD) was an operating system based on Research Unix, developed and distributed by the Computer Systems Research Group (CSRG) at the University of California, Berkeley. Today, ‘BSD’ often refers to its descendants, such as FreeBSD, OpenBSD, NetBSD, or DragonFly BSD, and systems based on those descendants.
[Source 4 | Week 4 | TCP session hijacking | lecture | dist=0.84]
is not trivial if the attacker is on-path (within the network). In fact, in this case, the steps are: sniff the traffic collecting packets predict the sequence number (checking the packets collected) inject the data. Below, we see the diagram from the Three-Way Handshake; however, this time, an attacker has hijacked the connection, sending data to the client. The second packet from the server to the client (following the SYN, SYN/ACK, ACK exchange) is ignored as the client has already processed that particular sequence number (from the attacker’s hijack). [Graphic – full-width] Figure: Described in text above. Caption: Let’s assume that the attacker is able to hijack a TCP stream. How can the attacker use it? To spoof the client: the attacker can decide to hijack the connection right after the initial authentication phase and play the role of the client. The attacker can send packets that will be considered from an ‘authenticated’ user. To spoof the server: the attacker could play the role of the server, as we saw before, injecting false data inside the stream and potentially redirecting the client to specific pages the attacker created. However, what could an attacker do if it is off-path – that is, outside of the network? The attacker could use IP spoofing against the client, sending a packet to the server, pretending to be the client. For this to work, the attacker’s packets have to be in the right part of the stream, otherwise the server will ignore the packets. [Graphic – full-width] Figure: Described in text below. Caption: The attacker can generate the first message of the sequence (SYN), pretending to be the client. However, when the server responds (SYN/ACK), the message will be sent to the real client. There are two observations we need to do. Firstly, the client may send an RST (Reset) message, as they know that they never initiated a connection, and the server will terminate the connection. Alternatively, since the attacker never receives the SYN/ACK message, it won’t be able to get to see Y (the sequence number generated by the server that it wants to use for this connection). So, in order to keep trying to open the connection and send the subsequential message, the attacker needs to guess Y+1 (ACK). Why doesn’t the attacker see Y, the sequence number sent by the server to the client? [View answer (no academic)] View answer The attacker doesn’t see Y because the SYN/ACK message from the server is sent to the IP address of the real client, not to the attacker. The attacker is out of the reply path. Without being able to sniff the traffic between the server and the real client (which requires network access or a man-in-the-middle position), the attacker can’t see Y and must guess it. How do the sequence numbers get generated according to the RFC 793 (TCP standard)? [View answer (no academic)] View answer The TCP standard says to use the clock. When new connections are created, an initial sequence
[Source 5 | Week 4 | Overview and learning outcomes | overview | dist=1.122]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t>
        </is>
      </c>
      <c r="R38" s="25" t="inlineStr">
        <is>
          <t>High | 0.837</t>
        </is>
      </c>
      <c r="S38" s="25" t="n">
        <v>3</v>
      </c>
    </row>
    <row r="39" ht="57.75" customHeight="1" s="26">
      <c r="A39" s="39" t="n">
        <v>38</v>
      </c>
      <c r="B39" s="40" t="inlineStr">
        <is>
          <t>Week 4</t>
        </is>
      </c>
      <c r="C39" s="34" t="inlineStr">
        <is>
          <t>Hard</t>
        </is>
      </c>
      <c r="D39" s="40" t="inlineStr">
        <is>
          <t>DNS poisoning</t>
        </is>
      </c>
      <c r="E39" s="40" t="inlineStr">
        <is>
          <t>How can ARP spoofing be used to facilitate DNS poisoning?</t>
        </is>
      </c>
      <c r="F39" s="40" t="inlineStr">
        <is>
          <t>MITM via ARP intercepts DNS; attacker sends false DNS replies</t>
        </is>
      </c>
      <c r="G39" s="40" t="inlineStr">
        <is>
          <t>Yes - ARP protocol</t>
        </is>
      </c>
      <c r="H39" s="31" t="inlineStr">
        <is>
          <t>ARP spoofing can be used to facilitate DNS poisoning by allowing an attacker to intercept and manipulate the ARP cache of the victim's device. This is achieved by poisoning the ARP cache with the attacker's MAC address, which is associated with the victim's IP address. This enables the attacker to send fake DNS responses to the victim, directing them to a malicious server instead of the legitimate one.
As explained in [Source 3 | Week 3 | ARP protocol and ARP spoofing (lecture)], ARP spoofing involves tampering with the MAC address, which is a physical address that represents a device on a LAN network. This allows the attacker to pretend to be someone else on the network. 
According to [Source 1 | Week 4 | Demo using Cain and Abel for ARP spoofing and DNS poisoning (lecture)], Cain and Abel is a tool that includes features for different attacks, including ARP spoofing and DNS poisoning. In Cain and Abel, ARP poisoning is used as a foundation for DNS poisoning to work. This demonstrates how ARP spoofing can be used to facilitate DNS poisoning.
[Source 5 | Week 4 | Demo using Cain and Abel for ARP spoofing and DNS poisoning (lecture)] also explains how ARP spoofing can be used for DNS spoofing by redirecting traffic to the attacker's IP address associated with a legitimate website, such as facebook.com.</t>
        </is>
      </c>
      <c r="I39" s="31" t="n">
        <v>5</v>
      </c>
      <c r="J39" s="31" t="n">
        <v>5</v>
      </c>
      <c r="K39" s="31" t="n">
        <v>5</v>
      </c>
      <c r="L39" s="31" t="n">
        <v>5</v>
      </c>
      <c r="M39" s="31" t="n">
        <v>27.94</v>
      </c>
      <c r="N39" s="31" t="inlineStr">
        <is>
          <t>Medium</t>
        </is>
      </c>
      <c r="O39" s="31" t="inlineStr">
        <is>
          <t>Y</t>
        </is>
      </c>
      <c r="P39" s="31" t="n"/>
      <c r="Q39" s="32" t="inlineStr">
        <is>
          <t>[Source 1 | Week 4 | Demo using Cain and Abel for ARP spoofing and DNS poisoning | lecture | dist=0.646]
4.8 Demo: using Cain and Abel for ARP spoofing and DNS poisoning In this lesson, you will see a video demonstration provided by Dr Ievgeniia Kuzminykh on using Cain and Abel for ARP spoofing and DNS poisoning. Cain and Abel is a legacy Windows-based password recovery and network security tool that also includes features for different attacks, including man-in-the-middle (MitM) attacks. In Cain and Abel, you can scan the network for hosts, select the victim and gateway, launch the ARP poisoning attack, and predefine a list of domain name to IP address mappings so the victim will get the fake DNS response. It’s important to note that Cain and Abel only works on LAN segments, you need to be in the same network, and ARP spoofing is the foundation – without it, DNS poisoning won’t work in Cain and Abel. Modern networks with ARP inspection, DNSSEC, HTTPS, and switch port security can mitigate these attacks. Please note that this video contains visual demonstrations that may not be fully accessible for some students. You are encouraged to watch the video, but it is not required for your success in this course. Awaiting ML video (LD: only if video is KD-produced, not needed for 3rd party videos) Demo: using Cain and Abel for ARP and DNS poisoning Dr Ievgeniia Kuzminykh Senior Lecturer in Cybersecurity Education View transcript &lt;p&gt;&lt;strong&gt;Dr Ievgeniia Kuzminykh&lt;/strong&gt; | Senior Lecturer in Cybersecurity Education&lt;/p&gt; &lt;p&gt;Cain and Abel – this is a special tool that can be used for sniffing the network and to perform DNS spoofing, ARP spoofing and so on. Okay, first we need to sniffer the network. I already sniffer it. But to do sniffing you can just click ‘Add’ and MAC address scanner and put range and it will start to scan the network and to show you all the devices in the local area network. Again, this attack is possible only if attacker connects to the local area network. And then when we discovered the host, we can go to the ARP tab and here you can make many ARP spoofings. Okay, so now to click on it? Okay if you put 'Add'. So, here is ARP poisoning routing. So, how we can interchange the addresses. So, I don't remember exactly. So, one column is for victim, which we are going to redirect traffic. And another column is for our spoofed IP, where we want to redirect all. So from this MAC, this IP is associated with this MAC, and we make another association of IP with another MAC. So we apply this one, I need to choose and another one. So and then here should be IP and DNS. It's all ready to spoof, also DNS. Here is, I just pick up randomly, but in reality, if you do this lab or in a normal network also, or to do this properly, here will be already and if the victim goes for example wants to reach the another host in the local area network, his
[Source 2 | Week 4 | DNS and DNS cache poisoning | lecture | dist=0.834]
one of the top-level DNS servers responsible for ‘com’ which were provided by the root DNS server. Then the top-level DNS server finds a suffix google.com and returns to the local DNS server with an IP address of the authoritative DNS server for google, ie google.com. Finally, the local DNS server sends the same query again to the authoritative DNS server dns.google.com. In a poisoning attack, however, before the authoritative DNS server replies with the IP address of www.google.com (eg aa:aa:aa:aa), an attacker replies to the request indicating a specific IP address that belongs to the attacker (eg bb:bb:bb:bb). So, the local DNS server will record in its cache that www.google.com is the IP of the attacker (bb:bb:bb:bb) and every time a client requests the IP address of www.google.com, the DNS server will return the poisoned entry. Using DNS poisoning, an attacker can point users to wherever they want – however, most of the time, this technique is combined with website spoofing. For example, imagine a client trying to get access to their online bank account; a wireless router with a DNS poisoned server redirects the client’s request to the attacker. The attacker takes the request, modifies it and sends it to the legitimate bank, pretending to be the client. The bank will respond to the attacker with the client’s data and the bank account is compromised. ---------------------------------------------- Note for ELCD: please do not build the following questions – they are moved to 4.10 Knowledge Check and only kept here for reference Add quiz questions covering this topic to the end of week quiz. In the recursive approach, between steps 4 and 5, where does the authoritative DNS forward the response to? DNS Local DNS Root DNS TLD DNS Authoritative Correct is DNS TLD, for more information go to section x.x In the iterative approach, between steps 1 and 2, where does the Local DNS server check first? 'User DNS Local DNS Root DNS TLD DNS Authoritative Correct is DNS Root, for more information go to section x.x
[Source 3 | Week 3 | This week’s webinar | webinar | dist=0.934]
3.13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Explain the function of ARP and RARP and why ARP results are cached. How can ARP cache be used to spoof other computers? What is the main complication of poisoning an ARP cache? How would it be possible to solve it? What are SYN flood attacks? How can IP spoofing be used to make them more effective? Explain how TCP connections are set up through a Three-Way Handshake and discuss TCP session hijacking by an on-path adversary. Explain how iterative DNS queries work and how this can be exploited to poison caches. We have seen many network attacks. You should also have found information about what a botnet is. Where would a botnet be more useful to execute an attack?
[Source 4 | Week 3 | ARP protocol and ARP spoofing | lecture | dist=0.936]
3.3 ARP protocol and ARP spoofing 1. Spoofing We mentioned a few types of attacks in the previous week. We’ll look at them in more detail now starting with spoofing. In a nutshell, spoofing is pretending to be somebody else on the internet. More specifically, since everyone on the internet is uniquely identified by an IP address, and on a LAN network by a MAC address, pretending to be someone else means tampering with the IP or MAC address. Spoofing forms the basis of a lot of attacks because it is very easy to change these addresses. As you recall, we are operating on a multi-layered network infrastructure. Each layer serves its purpose. In order to recognise the message sent inside the network, every layer has its own address to refer to. Looking from the point of view of the network layer of the OSI model, we use an IP address. This represents a logical address. Logical addresses are used by networking software and socket interfaces to allow packets to be independent of the physical connection of the network, that is, to work with different network topologies and types of media. A logical address on the internet used to be a 32-bit address (called IPv4 or IP version 4) that uniquely defined a host connected to the internet. However, nowadays we are seeing a transition to the new standard IPv6 or IP version 6 that uses a 128-bit address. IPv6 was developed to deal with the long-anticipated problem of IPv4 address exhaustion. Looking from the point of view of the link layer of the OSI model, we use a MAC address. MAC stands for media access control and represents a physical address which is the unique address assigned to a network interface controller (NIC). The address is hard coded on the NIC. The Ethernet header contains the MAC address of the source and the destination computer. This enables devices within a broadcast domain to send data back and forth. Most local area networks use a 48-bit (6-byte) physical address written as 12 hexadecimal digits; every byte (2 hexadecimal digits) is separated by a colon, for example 07:01:02:01:2C:4B. [new page] 2. ARP protocol and ARP spoofing So, in a multi-layered network infrastructure, we have different addresses. It has been necessary to create a set of protocols to link these addresses. For instance, for a given IP address, what is the physical destination address? And vice versa. The two protocols created to solve these two-way problems are ARP and RARP. The Address Resolution Protocol (ARP) is a communication protocol used for discovering the MAC Address associated with a given IP Address. The Reverse Address Resolution Protocol (RARP) is an obsolete computer networking protocol used by a client computer to request its Internet Protocol (IPv4) address from a computer network, when all it has available is its link layer or hardware address, such as a MAC address. It has been rendered obsolete by the modern Dynamic Host Configuration Protocol (DHCP), which supports a
[Source 5 | Week 4 | Demo using Cain and Abel for ARP spoofing and DNS poisoning | lecture | dist=0.943]
DNS. Here is, I just pick up randomly, but in reality, if you do this lab or in a normal network also, or to do this properly, here will be already and if the victim goes for example wants to reach the another host in the local area network, his traffic will be redirected to the spoofed IP. Just like you had in the example in the week materials. I'll go back to that slide now. But before I back, so the attacker can go even further and to perform also DNS spoofing. &lt;/p&gt; &lt;p&gt;So, for example, a simple example is like an attacker makes his own web server and plays on this web server, a fake Facebook page. Yes, simple example. And then all users in the local area network who want to reach the facebook.com page, and, you know, DNS resolution will associate facebook.com with some IP address. But this IP address will be already not from real facebook.com, but spoofed already, that belongs to attacker. Yes, so it can be done also easily with this tool. Then here you, here is a domain name and here is IP address associated with this domain name and you click ‘Resolve’ and then it will start work. So all users will be redirected to the web server of the attacker where he placed this Facebook page. Of course, now Norton browsers have protection against this one we tested and the user just log out from the real facebook.com and receive some security notification about that you're suspicious to have this spoofing, so please log in again and so on. But also attackers have special tools to bypass this restriction.&lt;/p&gt;</t>
        </is>
      </c>
      <c r="R39" s="25" t="inlineStr">
        <is>
          <t>Medium | 0.859</t>
        </is>
      </c>
      <c r="S39" s="25" t="n">
        <v>3</v>
      </c>
    </row>
    <row r="40" ht="57.75" customHeight="1" s="26">
      <c r="A40" s="39" t="n">
        <v>39</v>
      </c>
      <c r="B40" s="40" t="inlineStr">
        <is>
          <t>Week 4</t>
        </is>
      </c>
      <c r="C40" s="34" t="inlineStr">
        <is>
          <t>Hard</t>
        </is>
      </c>
      <c r="D40" s="40" t="inlineStr">
        <is>
          <t>Countermeasures</t>
        </is>
      </c>
      <c r="E40" s="40" t="inlineStr">
        <is>
          <t>Name two countermeasures that prevent session hijacking and why.</t>
        </is>
      </c>
      <c r="F40" s="40" t="inlineStr">
        <is>
          <t>Two of: TLS/HTTPS, secure random tokens, expiry, IP binding</t>
        </is>
      </c>
      <c r="G40" s="40" t="inlineStr">
        <is>
          <t>No</t>
        </is>
      </c>
      <c r="H40" s="31" t="inlineStr">
        <is>
          <t>To prevent session hijacking, two countermeasures are:
1. SYN cookies: They were mentioned as a way to prevent SYN spoofing attacks in Week 5 of the module (Source 2).
2. Use of cryptography to encrypt communication: According to Week 1's lecture on network attacks (Source 3), cryptography can be used to protect against sniffing attacks, which also include session hijacking because it attacks confidentiality.
This answer draws from Week 1's lecture on network attacks and Week 5's quiz on network layer protocols.</t>
        </is>
      </c>
      <c r="I40" s="31" t="n">
        <v>2</v>
      </c>
      <c r="J40" s="31" t="n">
        <v>3</v>
      </c>
      <c r="K40" s="31" t="n">
        <v>3</v>
      </c>
      <c r="L40" s="31" t="n">
        <v>3</v>
      </c>
      <c r="M40" s="31" t="n">
        <v>27.76</v>
      </c>
      <c r="N40" s="31" t="inlineStr">
        <is>
          <t>Medium</t>
        </is>
      </c>
      <c r="O40" s="31" t="inlineStr">
        <is>
          <t>Y</t>
        </is>
      </c>
      <c r="P40" s="31" t="inlineStr">
        <is>
          <t>False trigger: the substring "session hijacking" matched the dependency graph and probed TCP handshake, but the question does not depend on it; M1 2/5: misses or contradicts the must-include concepts.</t>
        </is>
      </c>
      <c r="Q40" s="32" t="inlineStr">
        <is>
          <t>[Source 1 | Week 1 | Knowledge check | quiz | dist=0.928]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
[Source 2 | Week 5 | Quiz week 1-5 | quiz | dist=0.982]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 is correct. PPP This is incorrect. General Feedback [Multiple choice question] Question Question number: 8 Question text: What type of attacker hijacks a session but does not alter anything – they just sit back and watch or record all the traffic and data being sent forth? Settings Number of answers: [One/Multiple] Shuffle answers? [Yes/No] Answers (Please highlight the correct answer) Feedback (Optional feedback for each individual answer) Network session hijacking This is incorrect. Active session hijacking This is incorrect. Social-networking session hijacking This is incorrect. Passive session hijacking This is correct. With a passive session hijacking attack, an attacker hijacks a session but does not alter anything. They just sit back and watch or record all the traffic and data being sent forth. General Feedback [Multiple choice question] Question Question number: 9 Question text: What action does a DHCPv4 client take if it receives more than one DHCPOFFER from multiple DHCP servers? Settings Number of answers: [One/Multiple] Shuffle answers? [Yes/No] Answers (Please highlight the correct answer) Feedback (Optional feedback for each individual answer) It discards both offers and sends a new DHCPDISCOVER. This is incorrect. It accepts both DHCPOFFER messages and sends a DHCPACK. This is incorrect. It sends a DHCPREQUEST that identifies which lease offer the client is accepting. This is correct. If there are multiple DHCP servers in a network, it is possible for a client to receive more than one DHCPOFFER. In this scenario, the client will only send one DHCPREQUEST, which includes the server from which the client is accepting the offer. It sends a DHCPNAK and begins the DHCP process over again. This is incorrect. General Feedback [Multiple choice question] Question Question number: 10 Question text: What is a characteristic of DNS? Settings Number of answers: [One/Multiple] Shuffle answers? [Yes/No] Answers (Please highlight the correct answer) Feedback (Optional feedback for each individual answer) DNS relies on a hub-and-spoke topology with centralised servers. This is incorrect. All DNS servers must maintain mappings for the entire DNS structure. This is incorrect. DNS servers are programmed to drop requests for name translations that are not within their zone. This is incorrect. DNS servers can cache recent queries to reduce DNS query traffic. This is correct. General Feedback [Multiple choice question] Question Question number: 11 Question text: What are some ways to prevent SYN spoofing attacks? Settings Number of answers: [One/Multiple] Shuffle answers? [Yes/No] Answers (Please highlight the correct answer) Feedback (Optional feedback for each individual answer) Use selective or random dropping of TCP table entries. This is correct, but not the complete answer. Use SYN cookies. This is correct, but not the complete answer. Impose rate limits on network links. This is correct, but not the complete answer.
[Source 3 | Week 1 | Network attacks | lecture | dist=1.024]
communication between two entities, resembling an aeroplane hijacker taking control of a flight. For instance, a session hijacking attack involves an attacker intercepting packets between two components and taking control of the session between them by inserting their own packet. Poisoning We refer to poisoning as a way to contaminate some source of information that we usually believe is good. Later on in the module, we are going to learn more about ARP poisoning and DNS cache poisoning. Each type of attack can be linked to one of the security principles (see ‘CIA triad’ in lesson ‘How do we define security?’). [Graphic – full-width] Redraw Figure: CIA triad: confidentiality, integrity, availability. Read text below on how different attacks are linked to each assurance. Caption: Sniffing attacks the confidentiality of the communication, since it corresponds to theft or interception of data by capturing network traffic. A potential solution for sniffing is using cryptography to encrypt the communication. Spoofing and poisoning attack the integrity. The goal of a poisoning attack is to change something by corrupting or manipulating information. A spoofing attack also attacks integrity, since it allows the attacker to pretend to be someone else. In order to protect integrity, we can leverage keys to sign what we want to protect. In case of alteration, we would be able to discover that our data were tampered with. A jamming attack compromises the availability of the communication channel, creating noise to make the communication impossible. Policies are a measure to help protect against jamming attacks, restricting what the users can do in the communication channels. Of course, the above solutions are not always feasible and often we need to balance practicality and cost with the importance of the data we want to protect. Off-path vs on-path attackers Finally, let’s look at a useful distinction between two different types of attack: on-path and off-path. On-path means the attacker is operating within the same network. Off-path means they are attacking from outside the network. On-path attacks are much more powerful as it is very difficult to insert false data off-path. There was a lot of terminology introduced in these opening lessons. Take your time to review the definitions as they are used throughout the module. Reference We have used the following sources to compile this lesson. You do not need to read these; they are simply there for your reference and in case you would like to learn more about the information presented in this lesson. [1] J. Postel, “Internet Protocol – DARPA Internet Program Protocol Specification,” Defense Advanced Research Projects Agency, Arlington, Virginia, RFC 791, 1981. [Online]. Available: https://datatracker.ietf.org/doc/html/rfc791
[Source 4 | Week 4 | Overview and learning outcomes | overview | dist=1.042]
4.1 Overview and learning outcomes In the previous week, we looked the TCP protocol and the Three-Way Handshake. This week, we will explore how this procedure can be attacked. On successful completion of this week, you will be able to describe the hijacking attacks that affect layer 4 (transport layer) of the OSI model, such as TCP session hijacking and BGP hijacking. You will learn as well about the DNS protocol that resolves domain names to IP addresses and how it can be attacked using poisoning and spoofing attacks. All the attacks you will learn here share the basis for more complex network attacks. [Learning outcome box] Learning outcomes By the end of this week, you should be able to: Explain what the weaknesses of TCP Three-Way Handshake method are and which attacks take advantage of this method (TCP session hijacking, ISN number guessing). Describe how packets are routed on the internet and how it is possible to hijack this system (BGP route hijacking). Describe what the DNS protocol is and how an attacker can perform a DNS cache poisoning attack.
[Source 5 | Week 4 | This week’s webinar | webinar | dist=1.07]
4.12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Can you discuss TCP session hijacking by an on-path adversary? Can you explain how iterative DNS queries work and how this can be exploited to poison caches? Can you explain how BGP routes can be hijacked and how the 'network black holes' are created?</t>
        </is>
      </c>
      <c r="R40" s="25" t="inlineStr">
        <is>
          <t>Medium | 1.009</t>
        </is>
      </c>
      <c r="S40" s="25" t="n">
        <v>2</v>
      </c>
    </row>
    <row r="41" ht="57.75" customHeight="1" s="26">
      <c r="A41" s="39" t="n">
        <v>40</v>
      </c>
      <c r="B41" s="40" t="inlineStr">
        <is>
          <t>Week 4</t>
        </is>
      </c>
      <c r="C41" s="34" t="inlineStr">
        <is>
          <t>Hard</t>
        </is>
      </c>
      <c r="D41" s="40" t="inlineStr">
        <is>
          <t>MITM attacks</t>
        </is>
      </c>
      <c r="E41" s="40" t="inlineStr">
        <is>
          <t>Explain how encryption defends against a man-in-the-middle attack.</t>
        </is>
      </c>
      <c r="F41" s="40" t="inlineStr">
        <is>
          <t>Intercepted traffic is unreadable/unmodifiable without keys</t>
        </is>
      </c>
      <c r="G41" s="40" t="inlineStr">
        <is>
          <t>No</t>
        </is>
      </c>
      <c r="H41" s="31" t="inlineStr">
        <is>
          <t>Encryption defends against a man-in-the-middle (MITM) attack in the following way:
When encryption is used to protect a communication, the encrypted data is sent over the network, but only the sender and the intended recipient have the secret key or password needed to decrypt it. In a MITM attack, the attacker attempts to intercept the communication and relay it between the sender and the intended recipient. However, since the attacker does not have the secret key or password, they cannot decrypt the encrypted data, and therefore cannot understand its contents. As a result, the attacker cannot inject or modify the data in any way, which defeats the purpose of the attack.
In the context of the provided sources, the concept of encryption is discussed in [Source 4 | Week 5 | Firewall topologies (lecture)], where it is mentioned as a mechanism used to provide security over an insecure network, and [Source 1 | Week 1 | How do we define security (lecture)], where it is implied as one of the security mechanisms that can be used to implement security properties.</t>
        </is>
      </c>
      <c r="I41" s="31" t="n">
        <v>4</v>
      </c>
      <c r="J41" s="31" t="n">
        <v>3</v>
      </c>
      <c r="K41" s="31" t="n">
        <v>5</v>
      </c>
      <c r="L41" s="31" t="n">
        <v>3</v>
      </c>
      <c r="M41" s="31" t="n">
        <v>35.02</v>
      </c>
      <c r="N41" s="31" t="inlineStr">
        <is>
          <t>Low</t>
        </is>
      </c>
      <c r="O41" s="31" t="inlineStr">
        <is>
          <t>N</t>
        </is>
      </c>
      <c r="P41" s="31" t="inlineStr">
        <is>
          <t>Under-confident: Low band on a 4/5 answer (mean distance 1.224 above the 1.1 cut-off).</t>
        </is>
      </c>
      <c r="Q41" s="32" t="inlineStr">
        <is>
          <t>[Source 1 | Week 1 | How do we define security | lecture | dist=1.17]
1.5 How do we define security? As a security expert responsible for security design, it is necessary to understand three things: Who or what is being protected? Who or what is attacking? What are the attacker’s powers? The answers to these questions make up what is called the threat model. Before starting to talk about securing a network, it is necessary to work out what the potential threats are for that specific network. As part of any analysis, we have principals. These principals are actors and participants that have a role in our analysis. Some agents are honest and some are not. As in many examples, let’s consider Alice and Bob. [Graphic – full-width] Figure: A diagram showing Alice and Bob communicating over a network, with a dishonest agent, Mallory, intercepting their communications. Caption: Alice and Bob use the internet to exchange information. Alice and Bob are the honest agents. However, the internet is vast and the communication between Alice and Bob is of some kind of interest for Mallory, who is a dishonest agent. Mallory is exploiting some internet vulnerabilities to get access to the information exchanged by Alice and Bob. How to define security Once we have identified the principals that can affect the security, we need to understand what security means. [Key concept box] Security can be defined as a combination of policy and mechanism. Policy and security properties A security policy is just a statement about what is allowed and not allowed to do in a system or on the ‘object’ being protected. This is defined by specifying security properties that must hold. The most common security properties are confidentiality, integrity and availability, which constitute what is commonly known as the CIA triad. [Card vertical (no image)] Confidentiality Assures that private or confidential information is not disclosed to unauthorised individuals. [Card vertical (no image)] Integrity Assures that information and programs are changed only in a specified and authorised manner. [Card vertical (no image)] Availability Assures that systems work promptly and service is not denied to authorised users. Security mechanisms Once we have the security properties, we need security mechanisms which describe how to implement the security properties. We can think of the mechanisms as tools, methodologies or procedures for security enforcement. For example, let’s say to protect the integrity of the network we have introduced the security mechanisms ‘Only "root" can execute this script’. We can then enforce this property by asking users to input the admin password in addition to checking if the user ID has root privileges. A different example of a property is that voters can only vote once in any given election. This is then implemented in many countries by the mechanism of staining the voters’ fingers with indelible ink to detect if they return back. In other countries the name of the voter is deleted from a database. We can refer to security mechanisms based on their type. The following three are the most important. [Card vertical (no image)] Deter Deterring
[Source 2 | Week 1 | Knowledge check PDF | quiz | dist=1.172]
___________ is how individuals and organisation reduce the risk of network attack. a.Network security b.Data security c. Cyber security d.Systems security e.Information security Your answer is incorrect. The correct answer is: Network security ___________ involves the passive capture of a data unit and its subsequent transmission to produce an unauthorised eﬀect. a.Man-in-the-middle attack b.Denial of service attack c. Masquerade d.Replay attack e.Disruption Your answer is incorrect. The correct answer is: Replay attack ____________ is a security mechanism that inserts bits into gaps in a data stream to frustrate traﬃc analysis. a.Access control b.Security recovery c. Notarisation d.Traﬃc padding e. Compression Your answer is incorrect. The correct answer is: Traﬃc padding All the techniques for providing security have two components: a security-related transformation on the information to be sent and some secret information shared by the two principals. Select one: True False The correct answer is 'True'. Which one of the security properties in the CIA triad is the most important? a.Conﬁdentiality b.Availability c. They are equally important d.The importance is situational e.Integrity Your answer is incorrect. The correct answer is: The importance is situational Which service is the one that protects a system to ensure its availability and addresses the security concerns raised by denial- of- service attacks? a.replay b.masquerade c. integrity d.non-repudiation e.availability Your answer is incorrect. The correct answer is: availability The ﬁrst step in the 5Ds of perimeter security is ____________. a.defend b.detect c. delay d.deter e.deny Your answer is incorrect. The correct answer is: deter Listening to network conversation that are not intended for you is called ___________. a.jamming b.sniﬃng c. spooﬁng d.ﬂooding e. hijacking Your answer is incorrect. The correct answer is: sniﬃng A _____________ is any action that compromises the security of information owned by an organisation. a.security monitoring b.security service c. security attack d.security alert e.security mechanism Your answer is incorrect. The correct answer is: security attack ________________ is an attack that pretends to be somebody you are not. a.jamming b.sniﬃng c. ﬂooding d.spooﬁng e.smurﬁng Your answer is incorrect. The correct answer is: spooﬁng 
[Source 3 | Week 5 | Quiz week 1-5 | quiz | dist=1.234]
text: Which attack is considered as an active attack? Settings Number of answers: [One/Multiple] Shuffle answers? [Yes/No] Answers (Please highlight the correct answer) Feedback (Optional feedback for each individual answer) Sniffing This is incorrect. Port mirroring This is incorrect. Network tapping This is incorrect. Spoofing This is correct. Eavesdropping This is incorrect. General Feedback Sniffing, network tapping, port mirroring and eavesdropping are passive attacks. Only spoofing is an active attack. [new page] Alice and Bob are CEO and CFO of a cooperation called SecureGalaxia, and you are a network administrator. Alice and Bob used to share a big open office with other colleagues including Charly and David before the Covid –19 pandemic. The simplified topology of their local area network is shown below, with the IP address of their machines listed. [Graphic – full-width] Figure: View the description below. Caption: [View description] View description In the local area network, four machines are connected to one central server. Their IP addresses are listed as below. Bob’s IP address: 10.0.0.2 David’s IP address: 10.0.0.5 Charly’s IP address: 10.0.0.4 Alice’s IP address: 10.0.0.3 One day you wanted to install an update on Bob’s machine. When you checked the ARP table on his machine, you saw the output as below: (10.0.0.2) at 1e:25:d2:11:8c:a2 [either] on h1-eth0 (10.0.0.4) at cc:cc:cc:cc:cc:cc [either] PERM on h1-eth0 (10.0.0.3) at cc:cc:cc:cc:cc:cc [either] PERM on h1-eth0 You thought this is strange, knowing that the MAC address cc:cc:cc:cc:cc:cc is Charly’s machine. However, Bob never had any problems of communicating with Alice on the network. [Essay question] Question Question number: Question text: What do you think is happening? In your analysis, include the following: What type of attack is this? What does the ARP table on Alice’s machine look like when she checks? Describe the attack in full detail in the context of the given scenario. What can Alice and Bob do to mitigate such attack(s) in the future? General feedback (relevant for the question as a whole) What type of attack is this? What does the ARP table at Alice’s machine look like when she checks? To answer this question, you are advised to revisit the week 3 lessons on network attacks, ARP spoofing, ARP poisoning and ARP cache poisoning. This is an ARP spoofing/ARP poisoning/ARP cache poisoning/man-in-the-middle attack. The ARP table shown on Alice’s machine looks like this: (10.0.0.3) at xx:xx:xx:xx:xx:xx [ether] on eth0, where xx:xx:xx:xx:xx:xx can be any valid Ethernet MAC address. x should be between 0 to f. eth0 can be any other port number except localhost. (10.0.0.4) at cc:cc:cc:cc:cc:cc [ether] PERM on h1-eth0. The fields from PERM are for examples only. (10.0.0.2) at cc:cc:cc:cc:cc:cc [ether] PERM on h1-etho. The fields from PERM are for examples only. Describe the attack in full detail with the given scenario. Your answer should describe how Charly mounts the attack, spoofs the ARP response and poisons the ARP cache, for both Alice and Bob, and becomes the man-in-the-middle of the communication between Alice and Bob. You may use diagram(s) to illustrate the
[Source 4 | Week 5 | Firewall topologies | lecture | dist=1.265]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5 | Week 1 | Knowledge check | quiz | dist=1.277]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t>
        </is>
      </c>
      <c r="R41" s="25" t="inlineStr">
        <is>
          <t>Low | 1.224</t>
        </is>
      </c>
      <c r="S41" s="25" t="n">
        <v>2</v>
      </c>
    </row>
    <row r="42" ht="57.75" customHeight="1" s="26">
      <c r="A42" s="41" t="n">
        <v>41</v>
      </c>
      <c r="B42" s="42" t="inlineStr">
        <is>
          <t>Week 5</t>
        </is>
      </c>
      <c r="C42" s="30" t="inlineStr">
        <is>
          <t>Easy</t>
        </is>
      </c>
      <c r="D42" s="42" t="inlineStr">
        <is>
          <t>Firewall basics</t>
        </is>
      </c>
      <c r="E42" s="42" t="inlineStr">
        <is>
          <t>What is a firewall and what security service does it provide?</t>
        </is>
      </c>
      <c r="F42" s="42" t="inlineStr">
        <is>
          <t>Filters traffic; provides access control</t>
        </is>
      </c>
      <c r="G42" s="42" t="inlineStr">
        <is>
          <t>No</t>
        </is>
      </c>
      <c r="H42" s="31" t="inlineStr">
        <is>
          <t>A firewall is a computer or network security system that sits between one's internal network and an external network, such as the internet (Source 1 | Week 5 | What is a firewall). Its primary function is to prevent unwanted or malicious traffic while allowing legitimate traffic to pass through, thereby providing an additional layer of defence against cyberattacks.
In terms of security services, a firewall provides network access control, traffic filtering, and monitoring capabilities, including auditing and controlling access, implementing alarms for abnormal behavior, and enforcing security policies (Source 1 | Week 5 | What is a firewall).
Moreover, firewalls can be configured to provide services such as network address translation (NAT) and internet usage audits or logs, and implementing VPNs using IPSec (Source 1 | Week 5 | What is a firewall).</t>
        </is>
      </c>
      <c r="I42" s="31" t="n">
        <v>5</v>
      </c>
      <c r="J42" s="31" t="n">
        <v>5</v>
      </c>
      <c r="K42" s="31" t="n">
        <v>5</v>
      </c>
      <c r="L42" s="31" t="n">
        <v>4</v>
      </c>
      <c r="M42" s="31" t="n">
        <v>27.42</v>
      </c>
      <c r="N42" s="31" t="inlineStr">
        <is>
          <t>High</t>
        </is>
      </c>
      <c r="O42" s="31" t="inlineStr">
        <is>
          <t>N</t>
        </is>
      </c>
      <c r="P42" s="31" t="n"/>
      <c r="Q42" s="32" t="inlineStr">
        <is>
          <t>[Source 1 | Week 5 | What is a firewall | lecture | dist=0.436]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2 | Week 5 | Your personal firewall | lecture | dist=0.639]
[KEATS forum] 5.9 Your personal firewall A personal firewall is an application which controls network traffic between a computer and the internet, permitting or denying communications based on a security policy. Typically, it works as an application layer firewall and nowadays it is installed on your operating system by default. A personal firewall is typically much less complex than other firewall types as it will usually protect only the computer on which it is installed and allows a security policy to be defined for individual computers only. Its primary role is to deny unauthorised remote access to the computer and monitor outgoing activity for malware. Identify the personal firewall installed in your machine. What are its basic functionalities? What options are available for you? Share your responses in the forum below. You may want to read posts from your coursemates and respond to a few.
[Source 3 | Week 5 | Firewall topologies | lecture | dist=0.739]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4 | Week 5 | Firewall topologies | lecture | dist=0.813]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[Source 5 | Week 5 | Stateful firewall rule practice | lecture | dist=0.813]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t>
        </is>
      </c>
      <c r="R42" s="25" t="inlineStr">
        <is>
          <t>High | 0.688</t>
        </is>
      </c>
      <c r="S42" s="25" t="n">
        <v>3</v>
      </c>
    </row>
    <row r="43" ht="57.75" customHeight="1" s="26">
      <c r="A43" s="41" t="n">
        <v>42</v>
      </c>
      <c r="B43" s="42" t="inlineStr">
        <is>
          <t>Week 5</t>
        </is>
      </c>
      <c r="C43" s="30" t="inlineStr">
        <is>
          <t>Easy</t>
        </is>
      </c>
      <c r="D43" s="42" t="inlineStr">
        <is>
          <t>Firewall types</t>
        </is>
      </c>
      <c r="E43" s="42" t="inlineStr">
        <is>
          <t>Name the main types of firewalls covered in the module.</t>
        </is>
      </c>
      <c r="F43" s="42" t="inlineStr">
        <is>
          <t>Packet filter, circuit-level, stateful, application-level proxy</t>
        </is>
      </c>
      <c r="G43" s="42" t="inlineStr">
        <is>
          <t>No</t>
        </is>
      </c>
      <c r="H43" s="31" t="inlineStr">
        <is>
          <t>The main types of firewalls covered in the module are:
1. Packet filter firewall
2. Stateful firewall (this is mentioned as a different type of firewall in the context of "What's next?" rather than explicitly listed in the material provided)
However, based mainly on the provided material that covers more detail, we can conclude that the types of firewalls discussed in the module (with some omissions and additions) include:
1. Packet filter firewall 
2. Static packet filtering firewall (this is a specific type of packet filter firewall operating at layer 3 and 4 of the OSI model)</t>
        </is>
      </c>
      <c r="I43" s="31" t="n">
        <v>1</v>
      </c>
      <c r="J43" s="31" t="n">
        <v>4</v>
      </c>
      <c r="K43" s="31" t="n">
        <v>2</v>
      </c>
      <c r="L43" s="31" t="n">
        <v>3</v>
      </c>
      <c r="M43" s="31" t="n">
        <v>21.99</v>
      </c>
      <c r="N43" s="31" t="inlineStr">
        <is>
          <t>Medium</t>
        </is>
      </c>
      <c r="O43" s="31" t="inlineStr">
        <is>
          <t>N</t>
        </is>
      </c>
      <c r="P43" s="31" t="inlineStr">
        <is>
          <t>M1 1/5: misses or contradicts the must-include concepts.</t>
        </is>
      </c>
      <c r="Q43" s="32" t="inlineStr">
        <is>
          <t>[Source 1 | Week 5 | Types of firewalls – part 1 | lecture | dist=0.735]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2 | Week 5 | This week’s webinar | webinar | dist=0.831]
5.13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What is a firewall? What are the limitations of a firewall? How many different types of firewalls exist? Can you describe two possible attacks of a packet filter firewall? What is a circuit level gateway? What is the more advanced type of firewall in use today? Why is it used? Can you explain what a DMZ is and why it is useful in networking?
[Source 3 | Week 5 | Firewall topologies | lecture | dist=0.857]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4 | Week 5 | Your personal firewall | lecture | dist=0.857]
[KEATS forum] 5.9 Your personal firewall A personal firewall is an application which controls network traffic between a computer and the internet, permitting or denying communications based on a security policy. Typically, it works as an application layer firewall and nowadays it is installed on your operating system by default. A personal firewall is typically much less complex than other firewall types as it will usually protect only the computer on which it is installed and allows a security policy to be defined for individual computers only. Its primary role is to deny unauthorised remote access to the computer and monitor outgoing activity for malware. Identify the personal firewall installed in your machine. What are its basic functionalities? What options are available for you? Share your responses in the forum below. You may want to read posts from your coursemates and respond to a few.
[Source 5 | Week 5 | Cyber M3 Week 5 outline | outline | dist=0.864]
Note for the Module lead: please focus on the subheading titles and the structure. The columns entitled ‘Activity labels’ and ‘Delivery format’ are for the King’s Digital build team. Week 5: Firewalls No. Activity title Activity label/s [Media / Group / Assessed] Delivery format Welcome to week 5 5.1 Overview and learning outcomes KEATS book 5.2 Week 5 general discussion KEATS forum Firewalls 5.3 What is a firewall? Media KEATS book 5.4 Types of firewalls – part 1 KEATS book 5.5 Packet filter firewall rule practice KEATS book 5.6 Types of firewalls – part 2 KEATS book 5.7 Stateful firewall rule practice Group KEATS forum 5.8 Firewall topologies KEATS book 5.9 Your personal firewall Group KEATS forum Virtual lab 5.10 Virtual Lab: IPTables KEATS book Consolidation and reflection 5.11 Knowledge check KEATS quiz 5.12 Reflect on your learning KEATS questionnaire 5.13 This week’s webinar KEATS book 5.14 Quiz week 1-5 KEATS quiz</t>
        </is>
      </c>
      <c r="R43" s="25" t="inlineStr">
        <is>
          <t>High | 0.829</t>
        </is>
      </c>
      <c r="S43" s="25" t="n">
        <v>2</v>
      </c>
    </row>
    <row r="44" ht="57.75" customHeight="1" s="26">
      <c r="A44" s="41" t="n">
        <v>43</v>
      </c>
      <c r="B44" s="42" t="inlineStr">
        <is>
          <t>Week 5</t>
        </is>
      </c>
      <c r="C44" s="33" t="inlineStr">
        <is>
          <t>Medium</t>
        </is>
      </c>
      <c r="D44" s="42" t="inlineStr">
        <is>
          <t>Packet filter</t>
        </is>
      </c>
      <c r="E44" s="42" t="inlineStr">
        <is>
          <t>What is a packet filter firewall and at which layers does it operate?</t>
        </is>
      </c>
      <c r="F44" s="42" t="inlineStr">
        <is>
          <t>Inspects headers; L3/L4; no connection state</t>
        </is>
      </c>
      <c r="G44" s="42" t="inlineStr">
        <is>
          <t>No</t>
        </is>
      </c>
      <c r="H44" s="31" t="inlineStr">
        <is>
          <t>A packet filter firewall is a type of network firewall that inspects packets transferred between computers. It operates at the network layer (layer 3) and transport layer (layer 4) of the OSI model.
This type of firewall maintains an access control list, which dictates which packets are to be evaluated and what action should be taken, with the default action set to silent discard (Source 1 | Week 5 | Types of firewalls – part 1). The packet filtering firewall filters based on the information obtained in the packet's IP and protocol headers, and decides whether to accept or deny individual packets (Source 1 | Week 5 | Types of firewalls – part 1).
Specifically, packet filter firewalls examine fields in the packet's IP and protocol headers, such as:
- Source IP address
- Destination IP address
- Source and destination transport-level address (port number)
- IP protocol field
- Interface (for a firewall with three or more ports) (Source 1 | Week 5 | Types of firewalls – part 1).</t>
        </is>
      </c>
      <c r="I44" s="31" t="n">
        <v>4</v>
      </c>
      <c r="J44" s="31" t="n">
        <v>5</v>
      </c>
      <c r="K44" s="31" t="n">
        <v>5</v>
      </c>
      <c r="L44" s="31" t="n">
        <v>3</v>
      </c>
      <c r="M44" s="31" t="n">
        <v>30.92</v>
      </c>
      <c r="N44" s="31" t="inlineStr">
        <is>
          <t>High</t>
        </is>
      </c>
      <c r="O44" s="31" t="inlineStr">
        <is>
          <t>N</t>
        </is>
      </c>
      <c r="P44" s="31" t="n"/>
      <c r="Q44" s="32" t="inlineStr">
        <is>
          <t>[Source 1 | Week 5 | Types of firewalls – part 1 | lecture | dist=0.596]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2 | Week 5 | Types of firewalls – part 1 | lecture | dist=0.718]
take advantage of using a netmask to refer to this specific group, including the host IP address and all the consecutive addresses after it that match the pattern specified by the netmask. You can find the complete table of netmask here. [new page] 3. Advantages and disadvantages of packet filter firewalls The main advantages of packet filter firewalls are that they are very simple, very fast and transparent to users. However, as they were first to be introduced, they have lots of disadvantages. There is no examination of upper-layer data, hence no prevention of attacks that employ application-specific vulnerabilities or functions. For example, a packet filter firewall cannot block specific application commands. If a packet filter firewall allows a given application, all functions available within that application will be permitted. Because of the limited information available to the firewall, the logging functionality present in packet filter firewalls is limited. Packet filter logs normally contain the same information used to make access control decisions, eg source and destination addresses, traffic type, etc. Most packet filter firewalls do not support advanced user authentication schemes which is also due to a lack of upper-layer functionality. Packet-filter firewalls are generally vulnerable to attacks and exploits that take advantage of problems within the TCP/IP specification and protocol stack, such as network layer address spoofing. Many packet filter firewalls cannot detect a network packet in which the OSI layer 3 addressing information has been altered. Spoofing attacks are generally employed by intruders trying to bypass the security controls implemented in a firewall platform. Due to the small number of variables used in decisions, packet filter firewalls are susceptible to security breaches caused by improper configurations. It is easy to accidentally configure a packet filter firewall to allow traffic types, sources and destinations that should be denied based on an organisation’s information security policy. Attacks and countermeasures Packet filter firewalls suffer from some of the common attacks. Let’s see some of them and their countermeasures. The first attack is IP address spoofing. The intruder transmits packets from the outside with a source IP address field containing an address of an internal host, which is a fake source address that the firewall trusts. The attacker hopes that the use of a spoofed address will allow penetration of systems that employ simple source address security, in which packets from specific trusted internal hosts are accepted. What is the countermeasure for this attack? [View answer (no academic)] View answer The countermeasure is to add filters on routers to block such packets by discarding packets with an inside source address if the packet arrives on an external interface. This countermeasure is often implemented at the router external to the firewall. The second attack is called the tiny fragment attack. The idea is to split the header info over several tiny packets. The attacker uses the IP fragmentation option to create extremely small fragments and force the TCP header information into a separate packet fragment. This attack is designed to circumvent filtering
[Source 3 | Week 5 | Types of firewalls – part 2 | lecture | dist=0.735]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4 | Week 5 | Stateful firewall rule practice | lecture | dist=0.871]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5 | Week 5 | Firewall topologies | lecture | dist=0.872]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t>
        </is>
      </c>
      <c r="R44" s="25" t="inlineStr">
        <is>
          <t>High | 0.758</t>
        </is>
      </c>
      <c r="S44" s="25" t="n">
        <v>3</v>
      </c>
    </row>
    <row r="45" ht="57.75" customHeight="1" s="26">
      <c r="A45" s="41" t="n">
        <v>44</v>
      </c>
      <c r="B45" s="42" t="inlineStr">
        <is>
          <t>Week 5</t>
        </is>
      </c>
      <c r="C45" s="33" t="inlineStr">
        <is>
          <t>Medium</t>
        </is>
      </c>
      <c r="D45" s="42" t="inlineStr">
        <is>
          <t>Firewall policy</t>
        </is>
      </c>
      <c r="E45" s="42" t="inlineStr">
        <is>
          <t>What is the difference between default-permit and default-deny?</t>
        </is>
      </c>
      <c r="F45" s="42" t="inlineStr">
        <is>
          <t>Permit = allow unless blocked; Deny = block unless allowed</t>
        </is>
      </c>
      <c r="G45" s="42" t="inlineStr">
        <is>
          <t>No</t>
        </is>
      </c>
      <c r="H45" s="31" t="inlineStr">
        <is>
          <t>In the context of packet filtering firewalls, the difference between a default-permit and default-deny policy lies in the initial action taken by the firewall upon encountering a packet that does not match any specific rules.
A default-permit policy allows any packet that does not match any rules to pass through the firewall, while a default-deny policy rejects or blocks any packet that does not match any rules. This means that with default-permit, if a packet does not match any specific rules, it will be allowed to pass, whereas with default-deny, if a packet does not match any specific rules, it will be blocked.
For instance, in the given lecture notes, the default-permit policy is described as "anything that is not expressly prohibited is permitted" (Week 5, Types of firewalls – part 1, lecture), implying that any packet not explicitly blocked by a rule will be allowed to pass. On the other hand, the default-deny policy is described as "anything that is not expressly permitted is prohibited" (Week 5, Types of firewalls – part 1, lecture), indicating that any packet not explicitly allowed by a rule will be blocked.
This distinction between default-permit and default-deny policies affects how the firewall administrator should approach rule creation, as it determines what action to take when a packet does not match any specific rules.
(Week 5, Types of firewalls – part 1, lecture and Week 5, Types of firewalls – part 2, lecture)</t>
        </is>
      </c>
      <c r="I45" s="31" t="n">
        <v>5</v>
      </c>
      <c r="J45" s="31" t="n">
        <v>5</v>
      </c>
      <c r="K45" s="31" t="n">
        <v>5</v>
      </c>
      <c r="L45" s="31" t="n">
        <v>2</v>
      </c>
      <c r="M45" s="31" t="n">
        <v>34.03</v>
      </c>
      <c r="N45" s="31" t="inlineStr">
        <is>
          <t>Low</t>
        </is>
      </c>
      <c r="O45" s="31" t="inlineStr">
        <is>
          <t>N</t>
        </is>
      </c>
      <c r="P45" s="31" t="inlineStr">
        <is>
          <t>M4 2/5: retrieved chunks largely off-topic for this question; Under-confident: Low band on a 5/5 answer (mean distance 1.315 above the 1.1 cut-off).</t>
        </is>
      </c>
      <c r="Q45" s="32" t="inlineStr">
        <is>
          <t>[Source 1 | Week 5 | Types of firewalls – part 1 | lecture | dist=1.192]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that is not expressly prohibited is permitted This policy increases ease of use for end users but provides reduced security. The security administrator must, in essence, react to each new security threat as it becomes known. This policy is used by generally more open organisations, such as universities. [new page] 2. Example rule sets Let’s look at some sample rule sets. In these tables, a star (*) means ANY – that is, all inputs are allowed for that particular field. Also, SPIGOT and OUR-GW stand for hosts or possibly entire networks; typically, we would put ID addresses in the tables instead. Rule set A Source address Source port Destination address Destination port Action Comment * * SPIGOT * Block No messages are allowed to be sent to SPIGOT, as we don’t trust these people. SPIGOT * * * Block No messages are allowed to pass the firewall if they are from SPIGOT. OUR-GW 25 * * Allow Outbound connection to our SMTP port. Outbound mail is allowed (port 25 is for outcoming SMTP), but only from our gateway host (OUR-GW). However, packets from a particular external host, SPIGOT, are blocked because, for example, that host has a history of sending massive files in email messages. Rule set B Source address Source port Destination address Destination port Action Comment * * * * Block Default This is an explicit statement of the discard by default policy. All rule sets include this rule implicitly as the last rule. Rule set C Source address Source port Destination address Destination port Action Comment * * * 25 Allow Connection to their SMTP port. This rule set specifies that any inside host can send mail to the outside. A TCP packet with a destination port of 25 is routed to SMTP server on the destination machine. The problem with this rule is that the use of port 25 for SMTP receipt is only a default; an outside machine could be configured to have some other application linked to port 25. As rule C is written, an attacker could gain access to internal machines by sending packets with a TCP source port number of 25. Rule set D Source address Source port Destination address Destination port Flag Action Comment (Our hosts) * * 25 Allow The mail server which is one of our hosts initiates an SMTP session with the destination email service. * 25 * * ACK Allow The destination email server replies, and it belongs to the same session. Please note the new flag column in these tables which was not present before. This rule set achieves the intended result that was not achieved with rule set C, exploiting a feature of the TCP
[Source 2 | Week 5 | What is a firewall | lecture | dist=1.315]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to a service according to which entity is trying to access that specified service. This feature is applied to users inside the firewall perimeter (internal users). It may also be applied to incoming traffic from external users. It requires some form of secure authentication technology. Using Ipsec and similar protocols, this feature can be applied to incoming traffic from external users. [Card vertical (no image)] Behaviour control This controls how particular services are used. It keeps track of particular services in order to find any malicious activity in the service. An example would be blocking spam mails by filtering addresses. Firewall limitations A firewall cannot protect from attacks that bypass it or against malware imported via a laptop, a PDA, or storage that was infected from outside the network. For example: sneakernet, utility modems, trusted organisations, trusted services (eg SSL/SSH), etc. [Definition box] Sneakernet An informal term describing the transfer of electronic information, especially computer files, by physically moving removable media such as magnetic tape, floppy disks, compact discs, USB flash drives (thumb drives, USB stick) or external hard drives from one computer to another, usually instead of transmitting the information over a computer network. The term, a tongue-in-cheek play on Ethernet, refers to the use of someone wearing sneakers as the transport mechanism for the data. You can watch the following video to see an example of Sneakernet. 3.3 What is a firewall?: What is a firewall? | KEATS (LD: only if video is KD-produced, not needed for 3rd party videos) Sneakernet Dr Ievgeniia Kuzminykh Senior Lecturer in Cybersecurity Education View transcript Dr Ievgeniia Kuzminykh | Senior Lecturer in Cybersecurity Education Hi. In this video, we are going to take a look at an attack called ‘Sneakernet’, which is an informal term for the transfer of electronic information by physically moving media such as optical discs, USB flash drives or external hard drives between computers, rather than transmitting it over a computer network. We are going to have a look at an example from Mr Robot. This clip from Mr Robot, season 1, episode 6, shows us an attempt to bypass the potential protections that are in place to protect a precinct. Now, let’s play the clip. [A woman is walking on a parking lot and dropping on the ground several USB flash drives.] Elliot, the hacker, aims to get into the police network infrastructure. He recruited Darlene to pull off a simple, but classic penetration testing technique. Let's pause for a moment and look at this scene. In order to allow Elliot to get access to the IT police infrastructure, she is planting poisoned USB sticks in hopes that someone will plug one in, in front of the
[Source 3 | Week 5 | Types of firewalls – part 1 | lecture | dist=1.328]
5.4 Types of firewalls – part 1 1. Types of firewalls Let’s discuss the different types of firewalls that exist. Different firewalls operate to different levels of granularity. For instance, one type of firewall may examine one or more protocol headers in each packet, while another type might check the payload (eg the information the packet is carrying) of each packet, and yet another might check a pattern generated by a sequence of multiple packets. A firewall can also operate as a positive filter (whitelisting), allowing only packets that meet specific criteria to pass, or a negative filter (blacklisting), rejecting any packet that meets certain criteria. Packet filter firewall The first type of network firewall that we will look at is called a packet filter, which inspects packets transferred between computers. This is the simplest and fastest firewall component and is the foundation of any firewall system. The static packet filtering firewall operates only at the network layer (layer 3) and transport layer (layer 4) of the OSI model and does not differentiate between application protocols. This type of firewall decides whether to accept or deny individual packets based on examining fields in the packet's IP and protocol headers. The firewall maintains an access control list which dictates which packets will be looked at and what action should be applied, if any, with the default action set to silent discard. The packet filtering firewall filters based on the information obtained in the network packet. Source IP address: the IP address of the system that originated the IP packet (eg 192.168.1.1). Destination IP address: the IP address of the system the IP packet is trying to reach (eg 192.168.1.2). Source and destination transport-level address: the transport-level (eg TCP or UDP) port number, which defines applications such as SNMP or TELNET. IP protocol field: the field which defines the transport protocol. Interface: for a firewall with three or more ports, this defines which interface of the firewall the packet came from or which interface of the firewall the packet is destined for. The packet-filter firewall is typically set up as a list of rules based on matches to fields in IP or TCP header. In each set, rules are applied top to bottom. If there is a match to one of the rules, that rule is invoked to determine whether to forward or discard the packet. If there is no match to any rule, then a default action is taken. There are two possible default policies: [Card vertical (no image)] Anything that is not expressly permitted is prohibited This policy is the more conservative one of the two. Initially, everything is blocked and services must be added on a case-by-case basis. This policy is more visible to users, who are more likely to see the firewall as a hindrance, but the visibility to users diminishes as time goes on and more rules are created. This is the policy likely to be preferred by businesses and government organisations. [Card vertical (no image)] Anything
[Source 4 | Week 5 | Types of firewalls – part 2 | lecture | dist=1.362]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5 | Week 1 | Knowledge check | quiz | dist=1.379]
and briefly describe the purpose of each one. General feedback (relevant for the question as a whole) Confidentiality: it assures that private or confidential information is not disclosed to unauthorised individuals. Integrity: it assures that information and programs are changed only in a specified and authorised manner. Availability: it assures that systems work promptly, and service is not denied to authorised users. [Essay question] Question Question number: 8 Question text: Briefly explain the following kinds of mechanisms: deter, deny, detect. General feedback (relevant for the question as a whole) Deter: it makes it ‘too difficult’ or ‘not worthwhile’ to attack. Deny: it prevents unauthorised access. Detect: it monitors for attacks. [Essay question] Question Question number: 9 Question text: Briefly explain the following kinds of attacks: jamming spoofing hijacking sniffing poisoning. General feedback (relevant for the question as a whole) Jamming: it involves affecting availability for legitimate packets by 'talking’ too much. Spoofing: it pretends to be someone else on the internet. Hijacking: it takes over a (network) resource which belongs to someone else. Sniffing: it involves listening to network conversation by parties who are not the intended recipients. Poisoning: it corrupts a store of information (eg a cache) that is relied upon for future communications. [Essay question] Question Question number: 10 Question text: Briefly describe the main functions of the transport, network and data link layers of the OSI model. General feedback (relevant for the question as a whole) Data link layer: it is responsible for forwarding frames within a single network. Network layer: it routes packets across different networks. Transport layer: it provides end-to-end connectivity, correcting errors, lost packets and potentially reordering packets to maintain the relative order of packets. For King’s Digital production team LD: Please include choice settings in all storyboards. Delete options in square brackets so that only the desired settings remain. Highlighted options are strongly recommended and, if left untouched, this setting will be applied in the build. [Quiz settings] Grade Grade to pass [None / 1-100] Layout New page [Questions all on one page (recommended) / Questions on individual pages] Question behaviour Shuffle within questions?: [No (recommended) / Yes] How questions behave: Deferred feedback (recommended) / Immediate feedback] Appearance Show blocks during quiz attempts Yes (recommended) Review options LDs: please refer to external guidance for support on Review options. [Additional information: highlighted options in yellow are for LDs to choose, or leave as default. Greyed-out options unavailable to edit] During the attempt Immediately after the attempt Later, while the quiz is still open After quiz is closed The attempt [locked] X [default] X [default] X [locked] Whether correct [locked] X [default] X [default] X [locked] Maximum marks X [default] X [default] X [default] X [locked] Marks [locked] X [default] X [default] X [locked] Specific feedback [locked] X [default] X [default] X [locked] General feedback [locked] X [default] X [default] X [locked] Right answer [locked] X [default] X [default] X [locked] Overall feedback [locked] X [default] X [default] X [locked] Completion conditions Activity completion LD:</t>
        </is>
      </c>
      <c r="R45" s="25" t="inlineStr">
        <is>
          <t>Low | 1.315</t>
        </is>
      </c>
      <c r="S45" s="25" t="n">
        <v>3</v>
      </c>
    </row>
    <row r="46" ht="57.75" customHeight="1" s="26">
      <c r="A46" s="41" t="n">
        <v>45</v>
      </c>
      <c r="B46" s="42" t="inlineStr">
        <is>
          <t>Week 5</t>
        </is>
      </c>
      <c r="C46" s="33" t="inlineStr">
        <is>
          <t>Medium</t>
        </is>
      </c>
      <c r="D46" s="42" t="inlineStr">
        <is>
          <t>Application proxy</t>
        </is>
      </c>
      <c r="E46" s="42" t="inlineStr">
        <is>
          <t>What is an application-level proxy firewall and one advantage?</t>
        </is>
      </c>
      <c r="F46" s="42" t="inlineStr">
        <is>
          <t>Inspects L7; per-service proxy; easier logging; more secure</t>
        </is>
      </c>
      <c r="G46" s="42" t="inlineStr">
        <is>
          <t>No</t>
        </is>
      </c>
      <c r="H46" s="31" t="inlineStr">
        <is>
          <t>An application-level proxy firewall is a type of firewall that operates at the application layer (layer 7) of the OSI model. It acts as an intermediary between a client and a server, and makes policy decisions to block or permit traffic based on features identified in the application. An example of this type is the Simple Mail Transfer Protocol (SMTP) where an email is transmitted from a client system to a server system.
One advantage of an application-level proxy firewall is that it can be more secure than packet filtering firewalls, as it can inspect the contents of the packets and verify that they conform to application specifications.
Source: [Source 3 | Week 5 | Types of firewalls – part 2 (lecture)]</t>
        </is>
      </c>
      <c r="I46" s="31" t="n">
        <v>5</v>
      </c>
      <c r="J46" s="31" t="n">
        <v>5</v>
      </c>
      <c r="K46" s="31" t="n">
        <v>5</v>
      </c>
      <c r="L46" s="31" t="n">
        <v>5</v>
      </c>
      <c r="M46" s="31" t="n">
        <v>28.72</v>
      </c>
      <c r="N46" s="31" t="inlineStr">
        <is>
          <t>High</t>
        </is>
      </c>
      <c r="O46" s="31" t="inlineStr">
        <is>
          <t>N</t>
        </is>
      </c>
      <c r="P46" s="31" t="n"/>
      <c r="Q46" s="32" t="inlineStr">
        <is>
          <t>[Source 1 | Week 5 | Types of firewalls – part 2 | lecture | dist=0.627]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firewalls, summarise in your own words the main differences between packet, circuit, stateful and application firewalls, as well as their advantages and disadvantages. You could post your summary in the Week 5 general discussion forum to get feedback from your coursemates on your write-up.
[Source 2 | Week 5 | Firewall topologies | lecture | dist=0.659]
5.8 Firewall topologies 1. Bastion host and demilitarised zones A firewall is positioned to provide a protective barrier between an external, potentially untrusted source of traffic and an internal network. A security administrator must decide on the location and on the number of firewalls needed. Let’s look at different ways of deploying firewalls. Bastion host [Float box (with image-left)] Because an application-level gateway is exposed to greater risk than the hosts it protects, the proxy server normally takes the form of a specially secured host, referred to as a bastion host. A bastion host is specifically designed to be more resistant to attacks than other hosts on the protected network. For instance, a bastion host will run a secure version of the operating system, and may allow only essential services to be installed with a restricted set of Telnet, DNS, FTP and SMTP protocols. In addition, a strong user authentication process is employed along with audit facilities that record any intrusion attempts. Bastion hosts may require additional authentication before a user is allowed access to proxy services. Each proxy may require its own authentication before granting user access. The proxies are usually configured to support only a subset of the standard application’s command set and to allow access only to specific host systems. They maintain detailed audit information by logging all traffic, each connection, and the duration of each connection. These audit logs are essential for discovering and terminating intruder attacks. Alt: A photo of a defensive castle tower Caption: [(Optional) caption text] Each of the proxies is independent of other proxies on the bastion host. They can be uninstalled without affecting the operation of the other proxy applications, and conversely, if the user population requires support for a new service, a network admin can easily install new proxies. They also run as non-privileged users in a private and secured directory on the bastion host. The software packages run on the bastion host are specifically designed for network security and thus they make it easier to check for security flaws. For example, a typical UNIX mail application may contain over 20,000 lines of code, while a mail proxy may contain less than 1,000. Host-based firewalls A host-based firewall is a software module used to secure individual hosts. It is available in many operating systems, or it can be provided as an add-on package. Like conventional stand-alone firewalls, host-resident firewalls filter and restrict the flow of packets. A common location for such firewalls is a server. There are several advantages to the use of a server-based or workstation-based firewalls: We can tailor filtering rules to the host environment. In fact, specific corporate security policies for servers can be implemented, with different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[Source 3 | Week 5 | Types of firewalls – part 2 | lecture | dist=0.79]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4 | Week 5 | 5.5.1 Quiz 5  Attempt review   KEATS | quiz | dist=0.827]
provides ﬁrewall functions for multiple services b.In general, It is easier to log and audit all incoming traﬃc on an application-level proxy ﬁrewalls than stateful ﬁrewalls. c. An application-level proxy creates one connection with the server only, but not that with the client. d.Application-level proxy ﬁrewalls tend to be more secure than packet ﬁltering ﬁrewalls e.An application-level proxy ﬁrewalls has high processing overhead than circuit-level proxy ﬁrewalls. Your answer is incorrect. The correct answers are: Application-level proxy ﬁrewalls tend to be more secure than packet ﬁltering ﬁrewalls, In general, It is easier to log and audit all incoming traﬃc on an application-level proxy ﬁrewalls than stateful ﬁrewalls. , An application-level proxy ﬁrewalls has high processing overhead than circuit-level proxy ﬁrewalls. A packet ﬁltering ﬁrewall has a rule in its table as below. Choose all the options that describe this rule. a.This rule may be used in positive ﬁltering. b.This is an explicit statement of the default = discard policy c. This is an explicit statement of the default = forward policy d.All rule sets include this rule implicitly as the last rule e.This is a rule that may be used in negative ﬁltering Your answer is incorrect. The correct answers are: This is an explicit statement of the default = forward policy, This is a rule that may be used in negative ﬁltering In VPN, which two techniques can be used in their lower protocol layers to provide a secure connection through an otherwise insecure Internet. a.access control b.audit and logs c. authentication d.hash function e.encryption Your answer is incorrect. The correct answers are: encryption, authentication In the following diagram of an Azure ﬁrewall, which parts of the network the ﬁrewall is trying to protect? a.Spoke 1 VNet b.On-premises networks c. Spoke 2 VNet d.The external network (the little globe) e.All networks on the cloud Your answer is incorrect. The correct answers are: Spoke 1 VNet, Spoke 2 VNet, On-premises networks A network administrator needs to decide where to put a web server that lists the speciﬁcations of their products such as user manual, prices, special oﬀers that potential buyers are interested to know. Which part of the network would you recommend to the network administrator? a.the external DMZ network b.the internal protected network c. the internal DMZ network Your answer is incorrect. The correct answer is: the external DMZ network 
[Source 5 | Week 5 | Types of firewalls – part 2 | lecture | dist=0.886]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t>
        </is>
      </c>
      <c r="R46" s="25" t="inlineStr">
        <is>
          <t>High | 0.758</t>
        </is>
      </c>
      <c r="S46" s="25" t="n">
        <v>3</v>
      </c>
    </row>
    <row r="47" ht="57.75" customHeight="1" s="26">
      <c r="A47" s="41" t="n">
        <v>46</v>
      </c>
      <c r="B47" s="42" t="inlineStr">
        <is>
          <t>Week 5</t>
        </is>
      </c>
      <c r="C47" s="33" t="inlineStr">
        <is>
          <t>Medium</t>
        </is>
      </c>
      <c r="D47" s="42" t="inlineStr">
        <is>
          <t>Circuit-level</t>
        </is>
      </c>
      <c r="E47" s="42" t="inlineStr">
        <is>
          <t>What is a circuit-level gateway and one limitation?</t>
        </is>
      </c>
      <c r="F47" s="42" t="inlineStr">
        <is>
          <t>Validates TCP session; doesn't inspect content; malware passes</t>
        </is>
      </c>
      <c r="G47" s="42" t="inlineStr">
        <is>
          <t>No</t>
        </is>
      </c>
      <c r="H47" s="31" t="inlineStr">
        <is>
          <t>A circuit-level gateway is a type of firewall that operates at the session layer of the OSI model. It implements circuit-level filtering, which means it checks the validity of connections (circuits) at the transport layer (typically TCP connections) against a table of allowed connections before a session can be opened and data is exchanged. This includes examining criteria such as the destination and source addresses and ports, the time of day, the protocol being used, the user and the password. One limitation of circuit-level gateways is that they do not check the packet itself, so if a packet contains malware but has a valid TCP handshake, it would pass through the filter undetected.
Material drawn from: 
[Source 1 | Week 5 | Types of firewalls – part 2 (lecture)]
and 
[Source 2 | Week 5 | Types of firewalls – part 2 (lecture)], specifically Section on Circuit level gateways.</t>
        </is>
      </c>
      <c r="I47" s="31" t="n">
        <v>5</v>
      </c>
      <c r="J47" s="31" t="n">
        <v>5</v>
      </c>
      <c r="K47" s="31" t="n">
        <v>5</v>
      </c>
      <c r="L47" s="31" t="n">
        <v>2</v>
      </c>
      <c r="M47" s="31" t="n">
        <v>24.91</v>
      </c>
      <c r="N47" s="31" t="inlineStr">
        <is>
          <t>Low</t>
        </is>
      </c>
      <c r="O47" s="31" t="inlineStr">
        <is>
          <t>N</t>
        </is>
      </c>
      <c r="P47" s="31" t="inlineStr">
        <is>
          <t>M4 2/5: retrieved chunks largely off-topic for this question; Under-confident: Low band on a 5/5 answer (mean distance 1.129 above the 1.1 cut-off).</t>
        </is>
      </c>
      <c r="Q47" s="32" t="inlineStr">
        <is>
          <t>[Source 1 | Week 5 | Types of firewalls – part 2 | lecture | dist=0.944]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filters. [new page] 2. Application-level gateways An application-level gateway is implemented through a proxy server, which acts as an intermediary between a client and a server. It operates at the application layer (layer 7) of the OSI model. Policy decisions to block or permit traffic are based on features identified in the application. For instance, electronic mail will be associated with a variety of mail applications and an application-level gateway will act on criteria such as the message size, header fields or likely content, as indicated by keywords. Normally, each supported service is rigorously defined so that any undefined services are not available to users. Each internal host allowed to use or provide the specified services must also be defined. The term ‘application-level gateway’ is appropriate because, from the view of both the clients within the protected network and the remote servers, the proxy server is seen as the end user. In fact, rather than letting traffic connect directly, the proxy firewall first establishes a connection to the source of the traffic and inspects the incoming data packet. This check is similar to the stateful inspection firewall in that it looks at both the packet and at the TCP handshake protocol. However, proxy firewalls may also perform deep-layer packet inspections, checking the actual contents of the information packet to verify that it contains no malware. Once the check is complete, and the packet is approved to connect to the destination, the proxy sends it off. This creates an extra layer of separation between the ‘client’ (the system where the packet originated) and the individual devices on your network by obscuring them to create additional anonymity and protection for your network. The originating client and the remote server are hidden from each other. Application gateway firewalls are considered to be some of the most secure firewalls available because of their capability to inspect packets and ensure the packets are conforming to application specifications. Rather than trying to deal with the numerous possible combinations that are to be allowed and forbidden at the TCP and IP level, the application-level gateway needs only to scrutinise a few allowable applications. In addition, it is easy to log and audit all incoming traffic at the application level. However, due to the amount of information being processed, application gateway firewalls can be a little slower than other firewalls because of the extra steps in the data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[Source 2 | Week 5 | Types of firewalls – part 2 | lecture | dist=0.972]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3 | Week 4 | Example of routing in real life | lecture | dist=1.129]
4.4 Example of routing in real life [Float box (with image-right)] Have you ever thought about how information travels inside the network? Have you ever noticed that when you browse the internet some pages are faster to open than others? And no, it is not all about how powerful your computer is or how fast your connection is. Millions of packets travel the internet, trying to reach different points. We can think of the internet like a long highway. Along this highway there are signs for the important destinations, but not for all the possible destinations. So, how would a packet be able to reach your home? Alt: A photo of a busy road intersection. Caption: [(Optional) caption text] The key idea behind the routing technique on the internet is similar to the routing technique applied to telephone numbers and postal codes. Telephone numbers start with a country code, continue with an area code and finally a local exchange; IP addresses have a similar structure, identifying the network with the first sequence of bits and identifying the individual node in the network with the final bits. In order to manage the routing of the packets and provide services that improve the routing itself (eg rerouting packets in case of congestion, etc) a protocol is needed. IP, or the Internet Protocol, is used for routing, in that it specifies which destination each packet is going to. BGP is responsible for directing packets on the fastest route to their destination. Without BGP, IP packets would bounce around the internet randomly from autonomous system to autonomous system, like a driver trying to reach their destination by guessing which roads to take.
[Source 4 | Week 5 | Types of firewalls – part 2 | lecture | dist=1.281]
packet transferal process. We also need separate proxies for each service and, while some services naturally support proxying, others can be more problematic. Sometimes, people use application gateway firewalls in conjunction with another firewall. This was quite a lot of information. Once you’ve digested the explanations of different types of firewalls, summarise in your own words the main differences between packet, circuit, stateful and application firewalls, as well as their advantages and disadvantages. You could post your summary in the Week 5 general discussion forum to get feedback from your coursemates on your write-up.
[Source 5 | Week 4 | BGP hijacking | lecture | dist=1.319]
of Electrical Engineering and Computer Science, Massachusetts Institute of Technology, Cambridge, MA, USA. Rep. 6.02, May 2006. [Online]. Available: https://web.mit.edu/6.02/www/s2012/handouts/youtube-pt.pdf All readings are available via the Reading list link in the Module resources block. Once you have posted your answer, you can listen to Dr Hannah Cao’s feedback with a few examples. Start 16:31 till 18:53 BGP routing blackholes Dr Hannah Cao Senior Lecturer in Computer Science Education View transcript Dr Hannah Cao | Senior Lecturer in Computer Science Education One of the major instances of routing blackhole was on 25 April 1997, the day when the Internet died. The autonomous system AS7007 at Florida Internet Exchange, de-aggregated the BGP routing table, after learning the entire Internet routing tables through BGP protocol. It then converted most prefix to /24. The purpose was to make it more specific than those genuine routes. AS7007 then re-advertised to all prefixes, any other routers that it can route to all the specific prefix. As a result, other routers on the Internet thought that every network everywhere could be reached by sending traffic to AS7007, causing a huge network instability due to incorrect routing data. For more details or the full story, you can look at the link here. [[lore] Murphy's Law Strikes Again: AS7007] Another incident happened 11 years later on February 24 2008, when Pakistan Telecom took down YouTube in an attempt to perform censorship in Pakistan. What happened? They diverted YouTube traffic by injecting BGP routine entries with a /24 prefix for YouTube subnets. It worked well for its national censorship. But unfortunately, the manipulated BGP entries were leaked in arrow to other autonomous systems on the Internet, and the whole Internet started diverting YouTube traffic to Pakistan because of the /24 entrance that are more specific and have a longer prefix than the genuine routing entries for YouTube traffic. Therefore, were chosen by the BGP routers using the longest prefix matching selection route. More details are in the link below for your interest. ['How YouTube was “Hijacked”']</t>
        </is>
      </c>
      <c r="R47" s="25" t="inlineStr">
        <is>
          <t>Low | 1.129</t>
        </is>
      </c>
      <c r="S47" s="25" t="n">
        <v>3</v>
      </c>
    </row>
    <row r="48" ht="57.75" customHeight="1" s="26">
      <c r="A48" s="41" t="n">
        <v>47</v>
      </c>
      <c r="B48" s="42" t="inlineStr">
        <is>
          <t>Week 5</t>
        </is>
      </c>
      <c r="C48" s="34" t="inlineStr">
        <is>
          <t>Hard</t>
        </is>
      </c>
      <c r="D48" s="42" t="inlineStr">
        <is>
          <t>Stateful firewall</t>
        </is>
      </c>
      <c r="E48" s="42" t="inlineStr">
        <is>
          <t>What is a stateful firewall and how does it differ from a stateless one?</t>
        </is>
      </c>
      <c r="F48" s="42" t="inlineStr">
        <is>
          <t>Tracks state table NEW/ESTABLISHED/RELATED; stateless is per-packet</t>
        </is>
      </c>
      <c r="G48" s="42" t="inlineStr">
        <is>
          <t>Yes - packet filter firewall</t>
        </is>
      </c>
      <c r="H48" s="31" t="inlineStr">
        <is>
          <t>A stateful firewall is a type of network security system that inspects not only the source and destination IP addresses, ports, and protocols (packet header information) of network traffic but also the context and sequence of packets to make informed decisions about whether to allow or block network traffic. This context includes information about the state of the connection, such as whether a connection has been established, whether it is still active, or whether it has been terminated. A stateful firewall keeps track of this information in a state table to ensure that only valid, sequenced packets are allowed to pass through the firewall.
This differs from a stateless firewall, which only examines the current packet and makes decisions based solely on the source and destination address, port, and protocol of that packet. Stateless firewalls do not keep track of the state of established connections or the order of packets in a particular session.
(Answer draws from: Source 4, Week 5, Types of firewalls – part 2, lecture)</t>
        </is>
      </c>
      <c r="I48" s="31" t="n">
        <v>3</v>
      </c>
      <c r="J48" s="31" t="n">
        <v>4</v>
      </c>
      <c r="K48" s="31" t="n">
        <v>5</v>
      </c>
      <c r="L48" s="31" t="n">
        <v>2</v>
      </c>
      <c r="M48" s="31" t="n">
        <v>31.98</v>
      </c>
      <c r="N48" s="31" t="inlineStr">
        <is>
          <t>Medium</t>
        </is>
      </c>
      <c r="O48" s="31" t="inlineStr">
        <is>
          <t>Y</t>
        </is>
      </c>
      <c r="P48" s="31" t="inlineStr">
        <is>
          <t>M4 2/5: retrieved chunks largely off-topic for this question.</t>
        </is>
      </c>
      <c r="Q48" s="32" t="inlineStr">
        <is>
          <t>[Source 1 | Week 5 | Stateful firewall rule practice | lecture | dist=0.882]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2 | Week 5 | Firewall topologies | lecture | dist=0.909]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3 | Week 5 | What is a firewall | lecture | dist=0.916]
5.3 What is a firewall? Nowadays, everyone wants to be connected to the internet. However, as we saw in the previous week, being connected to the internet might expose us to cyberattacks. So, what security measures do we have at our disposal? One of the main security systems we have is called a firewall. [Definition box] Firewall A computer or a network security system that sits between one’s internal network and an external network such as the internet. It attempts to prevent unwanted or malicious traffic – such as internal users sending company secrets out of the network, or outsiders breaking into the system – without preventing legitimate traffic, such as employees accessing information available externally. [Graphic – full-width] Figure: A diagram showing several computers connected on a LAN, which are connected to WAN through a firewall. Caption: A typical use of a firewall is to provide a perimeter defence with a single choke point. But, as we are going to see, there might be more ways to take advantage of a firewall. A firewall is just one piece of a comprehensive security strategy. Generally, firewalls can be used to protect a network, but they can also be used to feed alerts to advanced Intrusion Detection Systems (IDS) and to implement Intrusion Prevention Systems (IPS), as we are going to see later on. To put it differently, a firewall forms a barrier through which all the traffic going in each direction must pass. A firewall security policy dictates which traffic is authorised to pass in each direction. You can also think of a firewall as a choke point for control and monitoring. It may be designed to operate as a filter at the level of IP packets, or may operate at a higher protocol layer. It interconnects networks with differing trust levels and imposes restrictions on network services such that only authorised traffic is allowed through. Whilst auditing and controlling access, it can implement alarms for abnormal behaviour. It’s also a convenient platform for several internet functions that are not security-related, such as NAT and internet usage audits or logs, and implements VPNs using IPSec. Above all else, it must be immune to penetration. Firewalls provide an additional layer of defence, insulating the internal systems from external networks. Originally, firewalls focused primarily on service control, but they have since evolved, and there are four primary techniques used by firewalls to control access and enforce security policy. [Card vertical (no image)] Service control This control determines the types of internet services that can be accessed, inbound or outbound. Firewall may filter traffic on the basis of IP address, protocol or TCP port number used. For example, incoming HTTP requests can be rejected unless they are directed to an official web server host. [Card vertical (no image)] Direction control This control regulates the direction in which particular service requests may be initiated and allowed to flow through the firewall. [Card vertical (no image)] User control A user control manages or authorises admission
[Source 4 | Week 5 | Types of firewalls – part 2 | lecture | dist=0.921]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5 | Week 5 | Firewall topologies | lecture | dist=0.978]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t>
        </is>
      </c>
      <c r="R48" s="25" t="inlineStr">
        <is>
          <t>Medium | 0.921</t>
        </is>
      </c>
      <c r="S48" s="25" t="n">
        <v>3</v>
      </c>
    </row>
    <row r="49" ht="57.75" customHeight="1" s="26">
      <c r="A49" s="41" t="n">
        <v>48</v>
      </c>
      <c r="B49" s="42" t="inlineStr">
        <is>
          <t>Week 5</t>
        </is>
      </c>
      <c r="C49" s="34" t="inlineStr">
        <is>
          <t>Hard</t>
        </is>
      </c>
      <c r="D49" s="42" t="inlineStr">
        <is>
          <t>Stateful firewall</t>
        </is>
      </c>
      <c r="E49" s="42" t="inlineStr">
        <is>
          <t>What connection states does a stateful firewall track and how?</t>
        </is>
      </c>
      <c r="F49" s="42" t="inlineStr">
        <is>
          <t>NEW/ESTABLISHED/RELATED/INVALID; SYN=NEW, SYN-ACK=ESTABLISHED</t>
        </is>
      </c>
      <c r="G49" s="42" t="inlineStr">
        <is>
          <t>Yes - packet filter firewall</t>
        </is>
      </c>
      <c r="H49" s="31" t="inlineStr">
        <is>
          <t>A stateful firewall tracks four different connection states: NEW, ESTABLISHED, RELATED, and INVALID. 
NEW - represents a new connection that has not been fully established yet.
ESTABLISHED - represents an existing two-way conversation.
RELATED - represents a new connection that is related to an existing connection.
INVALID - represents a connection that is not allowed by the firewall rules.
(Week 5 | Types of firewalls – part 2 (lecture))</t>
        </is>
      </c>
      <c r="I49" s="31" t="n">
        <v>3</v>
      </c>
      <c r="J49" s="31" t="n">
        <v>4</v>
      </c>
      <c r="K49" s="31" t="n">
        <v>5</v>
      </c>
      <c r="L49" s="31" t="n">
        <v>2</v>
      </c>
      <c r="M49" s="31" t="n">
        <v>40.87</v>
      </c>
      <c r="N49" s="31" t="inlineStr">
        <is>
          <t>Medium</t>
        </is>
      </c>
      <c r="O49" s="31" t="inlineStr">
        <is>
          <t>Y</t>
        </is>
      </c>
      <c r="P49" s="31" t="inlineStr">
        <is>
          <t>M4 2/5: retrieved chunks largely off-topic for this question.</t>
        </is>
      </c>
      <c r="Q49" s="32" t="inlineStr">
        <is>
          <t>[Source 1 | Week 5 | Types of firewalls – part 2 | lecture | dist=0.717]
firewall even if no rule is configured to allow communications from that host. If no traffic is seen for a specified time (implementation dependent), the connection is removed from the state table. Applications can send ‘keepalive’ messages periodically to prevent a firewall from dropping the connection during periods of no activity or for applications which by design have long periods of silence. The state table is continuously updated as new packets are processed, enabling the firewall to detect patterns that indicate potential threats. For instance, during a SYN flood attack, a surge of SYN packets may look valid individually, but the table reveals many incomplete handshakes – clear evidence of an attack. Within iptables, which is a packet filtering tool in Linux and will be covered in lab for this week, packets can be related to tracked connections in four different so-called states. These are known as NEW, ESTABLISHED, RELATED and INVALID. With the option –state match, we can easily control who or what is allowed to initiate new sessions. Here is an example of a state table which shows multiple active connections: No Source IP Source port Destination IP Destination port TCP flags State 1 192.168.1.10 54321 93.184.216.34 80 ACK ESTABLISHED 2 192.168.1.10 54322 172.217.16.206 443 SYN, ACK ESTABLISHED 3 192.168.1.15 45000 8.8.8.8 53 - NEW 4 203.0.113.1 22 Any 0 LISTEN LISTEN 5 192.168.1.20 * 8.8.4.4 * Echo Request NEW Web browsing (HTTP): an internal computer (192.168.1.10) initiated a connection to a web server (93.184.216.34 on port 80). Secure web browsing (HTTPS): an internal computer (192.168.1.10) is also connecting to a Google web server (172.217.16.206 on port 443). Notice it uses a different, random source port (54322) to keep the sessions distinct. The SYN/ACK flags show the connection is in the process of being established. DNS Lookup (UDP): an internal computer (192.168.1.15) sent a DNS query to Google's DNS server (8.8.8.8 on port 53). A new DNS query over UDP is marked as NEW. A TCP session waiting for connections (LISTEN): the SSH daemon is listening on port 22. Ping (ICMP): an internal computer (192.168.1.20) sent a Ping (Echo Request) to 8.8.4.4, so it is marked as a NEW. When the reply (Echo Reply) comes back from 8.8.4.4, the firewall will match it to this state table entry and allow it through, and the state will likely change to ESTABLISHED or RELATED. Some stateful firewalls also keep track of TCP sequence numbers to prevent attacks that depend on the sequence number, such as session hijacking. Some even inspect limited amounts of application data for some well-known protocols like FTP, IM and SIPS commands in order to identify and track related connections. These firewalls combine both packet inspection technology and TCP handshake verification to create a level of protection greater than either of the previous two architectures could provide alone. In the lab, we are going to use iptables, which is a popular tool used to filter network packets in Linux systems and represents an example of stateful packet
[Source 2 | Week 5 | Stateful firewall rule practice | lecture | dist=0.909]
5.7 Stateful firewall rule practice In real-world organisations, system administrators are frequently required to implement and maintain firewall configurations to secure the network perimeter. Firewall rule tables are a critical part of an organisation’s security documentation. Well-structured tables provide a clear overview of what traffic is allowed or denied, making it easier to ensure that security policies are applied consistently, that new admins can understand the logic behind configurations and update them safely, and to make it easier to trace whether a firewall is blocking necessary traffic. In addition, documented firewall rules can be helpful for auditors who come to review the compliance with security standards (eg ISO 27001, NIST and GDPR). In this activity, you will be the network administrator of TechSolutions Ltd., a medium-sized company that wants to strengthen its perimeter security. Draw a table similar to the ones in the exercise on packet filter firewalls, and write the rules for a stateful firewall (with the state or flag column) for the following company’s requirements: Internal employees (LAN 192.168.1.0/24) must have full web access (HTTP/HTTPS) to the internet. The company hosts a public-facing web server (10.0.0.10) in the DMZ that should be accessible from the internet only on HTTP (port 80) and HTTPS (port 443). Remote employees should connect to the company network via SSH to a bastion host (10.0.0.20) located in the DMZ. Internal systems should not be directly accessible from the internet. We also want the firewall to accept the ICMP Echo Requests (as used by Ping) coming from the outside. Deny all other inbound and outbound traffic by default. Once you finish writing the rules, compare your answer to the model answer. Feel free to use the Week 5 general discussion forum to post any questions or thoughts you may have for this exercise. [View answer (no academic)] View answer Rule no Source IP Destination IP Source port Destination port Flag/state Action Comments 1a 192.168.1.0/24 (LAN) Any (internet) &gt;1023 80, 443 * Allow Allow employees to have web access. 1b Any (internet) 192.168.1.0/24 (LAN) 80, 443 &gt;1023 Established Allow * 2a Any (internet) 10.0.0.10 * 80,443 * Allow Public web access to company’s website. 2b 10.0.0.10 Any (internet) 80,443 * Established Allow * 3a Any (internet) 10.0.0.20 * 22 * Allow Remote employees connect securely via SSH. 3b 10.0.0.20 Any (internet) 22 * ACK Allow * 4a Any (internet) 192.168.1.0/24 * * Echo Request Allow Allows Ping requests. 4b 192.168.1.0/24 Any (internet) * * Echo Reply Allow Allows Ping replies. 5 Any (internet) 192.168.1.0/24 (LAN) Any * * Deny Protect internal systems from direct access. 6 Any Any Any * * Deny Default deny rule to block all other traffic.
[Source 3 | Week 5 | Types of firewalls – part 2 | lecture | dist=0.959]
5.6 Types of firewalls – part 2 1. Circuit level gateways and stateful packet filters In this lesson, we’ll look at a few other types of firewalls. Circuit level gateway A circuit level gateway (also called a circuit level proxy) operates at the session layer of the OSI model or on and, as the name implies, implements circuit level filtering rather than packet level filtering. It checks the validity of connections (ie circuits) at the transport layer (typically TCP connections) against a table of allowed connections, before a session can be opened and data exchanged. The rules defining a valid session prescribe, for example, the destination and source addresses and ports, the time of day, the protocol being used, the user and the password, etc. While extremely resource-efficient, these firewalls do not check the packet itself. So, if a packet held malware, but had the right TCP handshake, it would pass right through. Also, it might require some software modifications relating to the transport function. Circuit level gateways can be stand-alone systems or a specialised function performed by an application-level gateway for certain applications. It does not permit an end-to-end TCP connection. It sets up (and relays) two TCP connections: one between itself and a TCP user on an inner host one between itself and a TCP user on an outside host. Once the two connections are established, the gateway typically relays TCP segments from one connection to the other without examining the contents. The security function consists of determining which connections will be allowed. This type of proxy is typically used when the system admin trusts internal users by allowing general outbound connections. The gateway can be configured to support application-level or proxy service on inbound connections and circuit-level functions for outbound connections. In this configuration, the gateway can incur the processing overhead of examining incoming application data for forbidden functions but does not incur that overhead on outgoing data. Example of a circuit-level gateway implementation is SOCKet Secure (SOCKS). SOCKS is an internet protocol that routes network packets between a client and server through a proxy server. Stateful packet filters Traditional packet filters make filtering decisions on an individual packet basis, without considering any higher layer context, ie matching return packets with outgoing flow. Stateful packet filters address this need by examining each IP packet in context. They keep track of client-server sessions (by recording information about TCP connections) and check each packet validly belongs to one. They are, therefore, better able to detect bogus packets out of context and may even inspect limited application data. Let’s see what is meant with higher layer context. Most standardised applications that run on top of TCP follow a client/server model. For example, in the Simple Mail Transfer Protocol (SMTP), an email is transmitted from a client system to a server system. The client system generates new e-mail messages, and the server system accepts incoming email messages and places them in the appropriate user mailboxes. SMTP operates by setting up a
[Source 4 | Week 5 | Knowledge check | quiz | dist=0.97]
Feedback (Optional feedback for each individual answer) Access control. Audit and logs. Authentication. Hash function. Encryption. General Feedback [New page] [Graphic – full-width] Figure: A diagram of an Azure firewall. See the question below. Caption: [View description] View description The diagram shows that an Azure firewall is connected to multiple networks on the cloud. On the left are two Spoke VNets: Spoke 1 and Spoke 2. At the bottom, on-premises networks connect to the firewall with a label indicating traffic filtering. On the right, an external network (represented by a little globe) connects to the firewall; traffic is denied by default but threat intel, NAT, network and application traffic filtering rules allow inbound and outbound access. The diagram also mentions firewall rules that come from two sources: User configuration; L3-L7 connectivity policies. Microsoft threat intelligence; known malicious IPs and FQDNs. The firewall is deployed in a Central VNet. [Multiple choice question] Question Question number: 9 Question text: In the above diagram of an Azure firewall, which parts of the network does the firewall try to protect? Select all correct answers. Settings Number of answers: [One/Multiple] Shuffle answers? [Yes/No] Answers (Please highlight the correct answer) Feedback (Optional feedback for each individual answer) Spoke 1 VNet. Spoke 2 VNet. On-premises networks. The external network (the little globe). All networks on the cloud. General Feedback [Multiple choice question] Question Question number: 10 Question text: A network administrator needs to decide where to put a web server containing information about their products, such as user manuals, prices and special offers that might interest potential buyers. Which part of the network would you recommend to the network administrator? Settings Number of answers: [One/Multiple] Shuffle answers? [Yes/No] Answers (Please highlight the correct answer) Feedback (Optional feedback for each individual answer) The external DMZ network. The internal protected network. The internal DMZ network. General Feedback [Essay question] Question Question number: 11 Question text: List and describe the techniques that firewalls use to control access and enforce the site’s security policy. General feedback (relevant for the question as a whole) Service control (what): determines the types of internet services that can be accessed, inbound or outbound. Direction control (where): determines the direction in which particular service requests may be initiated and allowed to flow through the firewall. User control (who): controls access to a service according to which user is attempting to access it. Behaviour control (how): controls how particular services are used. [Essay question] Question Question number: 12 Question text: Describe what a VPN is. General feedback (relevant for the question as a whole) A virtual private network (VPN) consists of a set of computers connected by means of a relatively insecure network that make use of encryption and special protocols to provide security. It uses encryption and authentication in the lower protocol layers to provide a secure connection through an otherwise insecure network, typically the internet. Encryption may be performed by firewall software or by routers. The most common protocol mechanism used for this purpose is
[Source 5 | Week 5 | Quiz week 1-5 | quiz | dist=0.986]
is not placed outside this firewall. Right behind your first network passive internet http firewall. This is incorrect. A demilitarised zone does not need to be placed behind a network passive internet http firewall. It just needs to be placed behind the first internet-facing firewall. Right behind your first network active firewall. This is incorrect. A demilitarised zone is placed behind the first internet-facing firewall, not behind the first network active firewall. General Feedback [Multiple choice question] Question Question number: 4 Question text: Which network monitoring capability is provided by using SPAN? Settings Number of answers: [One/Multiple] Shuffle answers? [Yes/No] Answers (Please highlight the correct answer) Feedback (Optional feedback for each individual answer) Traffic exiting and entering a switch is copied to a network monitoring device. This is correct. When enabled on a switch, SPAN or port mirroring copies frames that are sent and received by the switch and forwards them to another port, known as a Switch Port Analyzer port, which has an analysis device attached. Real-time reporting and long-term analysis of security events are enabled. This is incorrect. Network analysts are able to access network device log files and to monitor network behaviour. This is incorrect. Statistics on packets flowing through Cisco routers and multilayer switches can be captured. This is incorrect. General Feedback [Multiple choice question] Question Question number: 5 Question text: What protocol is responsible for controlling the size of segments and the rate at which segments are exchanged between a web client and a web server? Settings Number of answers: [One/Multiple] Shuffle answers? [Yes/No] Answers (Please highlight the correct answer) Feedback (Optional feedback for each individual answer) Ethernet This is incorrect. IP This is incorrect. HTTP This is incorrect. TCP This is correct. TCP is a Layer 4 protocol of the OSI model. TCP has several responsibilities in the network communication process. It divides large messages into smaller segments which are more efficient to send across the network. It also controls the size and rate of segments exchanged between clients and servers. General Feedback [Multiple choice question] Question Question number: 6 Question text: A user is unable to reach the website when typing http://www.cisco.com in a web browser, but can reach the same site by typing http://72.163.4.161. What is the issue? Settings Number of answers: [One/Multiple] Shuffle answers? [Yes/No] Answers (Please highlight the correct answer) Feedback (Optional feedback for each individual answer) TCP/IP protocol stack This is incorrect. DHCP This is incorrect. DNS This is correct. Domain Name Service (DNS) is used to translate a web address to an IP address. The address of the DNS server is provided via DHCP to host computers. Default gateway This is incorrect. General Feedback [Multiple choice question] Question Question number: 7 Question text: Which two protocols function at the network layer? (Choose two). Settings Number of answers: [One/Multiple] Shuffle answers? [Yes/No] Answers (Please highlight the correct answer) Feedback (Optional feedback for each individual answer) BOOTP This is incorrect. ARP This is incorrect. ICMP This is correct. IP This</t>
        </is>
      </c>
      <c r="R49" s="25" t="inlineStr">
        <is>
          <t>Medium | 0.908</t>
        </is>
      </c>
      <c r="S49" s="25" t="n">
        <v>3</v>
      </c>
    </row>
    <row r="50" ht="57.75" customHeight="1" s="26">
      <c r="A50" s="41" t="n">
        <v>49</v>
      </c>
      <c r="B50" s="42" t="inlineStr">
        <is>
          <t>Week 5</t>
        </is>
      </c>
      <c r="C50" s="34" t="inlineStr">
        <is>
          <t>Hard</t>
        </is>
      </c>
      <c r="D50" s="42" t="inlineStr">
        <is>
          <t>Firewall topologies</t>
        </is>
      </c>
      <c r="E50" s="42" t="inlineStr">
        <is>
          <t>What is a DMZ and why is it used?</t>
        </is>
      </c>
      <c r="F50" s="42" t="inlineStr">
        <is>
          <t>Segment between internet and internal; hosts public servers; limits access</t>
        </is>
      </c>
      <c r="G50" s="42" t="inlineStr">
        <is>
          <t>Yes - packet filter firewall</t>
        </is>
      </c>
      <c r="H50" s="31" t="inlineStr">
        <is>
          <t>A DMZ (Demilitarised Zone) is a physical or logical subnet that separates an internal LAN from other untrusted networks, usually the public internet. It is a zone that contains external-facing servers, resources, and services that are accessible from the internet, but are not directly connected to the internal network. This setup allows external attackers to only access the DMZ, making it an additional layer of security that restricts the ability to directly access internal servers and data through the internet.
A DMZ is used to provide an additional layer of protection to the internal network by segregating sensitive resources and services from the internet. This is useful in networking because it prevents hackers from having free access to internal servers and data.</t>
        </is>
      </c>
      <c r="I50" s="31" t="n">
        <v>5</v>
      </c>
      <c r="J50" s="31" t="n">
        <v>5</v>
      </c>
      <c r="K50" s="31" t="n">
        <v>5</v>
      </c>
      <c r="L50" s="31" t="n">
        <v>3</v>
      </c>
      <c r="M50" s="31" t="n">
        <v>24.82</v>
      </c>
      <c r="N50" s="31" t="inlineStr">
        <is>
          <t>Low</t>
        </is>
      </c>
      <c r="O50" s="31" t="inlineStr">
        <is>
          <t>Y</t>
        </is>
      </c>
      <c r="P50" s="31" t="inlineStr">
        <is>
          <t>Under-confident: Low band on a 5/5 answer (mean distance 1.319 above the 1.1 cut-off).</t>
        </is>
      </c>
      <c r="Q50" s="32" t="inlineStr">
        <is>
          <t>[Source 1 | Week 5 | Firewall topologies | lecture | dist=0.922]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2 | Week 5 | Firewall topologies | lecture | dist=1.188]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
[Source 3 | Week 5 | 3.16 Quiz week 1-3  Attempt review   KEATS | quiz | dist=1.47]
v2 (latest) v2 (latest) If an attacker directs a large number of forged requests to a server, what type of attack is being made? a.Smurﬁng b.Source address spooﬁng c. Ampliﬁer d.Slowloris e.SYN spooﬁng Your answer is incorrect. Which type of attack involves the altering of a systems Address Resolution Protocol (ARP) table so that it contains incorrect IP to MAC address mappings? a.Reverse ARP b.DHCP cache poisoning c. ARP table poisoning d.ARP cache poisoning Your answer is incorrect. v2 (latest) v2 (latest) A DMZ is located: a.Right behind your ﬁrst Internet facing ﬁrewall b.Right in front of your ﬁrst Internet facing ﬁrewall c. Right behind your ﬁrst network passive Internet http ﬁrewall d.Right behind your ﬁrst network active ﬁrewall Your answer is incorrect. Network-based Intrusion Detection systems a.Commonly reside on a discrete network segment and monitor the traﬃc on that network segment. b.Commonly reside on a discrete network segment and does not monitor the traﬃc on that network segment c. Commonly will not reside on a discrete network segment and monitor the traﬃc on that network segment d.Commonly reside on a host and monitor the traﬃc on that speciﬁc host Your answer is incorrect. v4 (latest) v3 (latest) Which network monitoring capability is provided by using SPAN? a.Traﬃc exiting and entering a switch is copied to a network monitoring device b.Real-time reporting and long-term analysis of security events are enabled c. Network analysts are able to access network device log ﬁles and to monitor network behavior. d.Statistics on packets ﬂowing through Cisco routers and multilayer switches can be captured Your answer is incorrect. What protocol is responsible for controlling the size of segments and the rate at which segments are exchanged between a web client and a web server a.Ethernet b.IP c. HTTP d.TCP Your answer is incorrect. v2 (latest) v2 (latest) A user is unable to reach the web site when typing http://www.cisco.com in a web browser, but can reach the same site by typing http://72.163.4.161. What is the issue? a.TCP/IP protocol stack b.DHCP c. DNS d.Default gateway Your answer is incorrect. Which two protocols function at the network layer? (Choose two) a.BOOTP b.ARP c. ICMP d.IP e.PPP Your answer is incorrect. v2 (latest) v3 (latest) With ___________________ attack, an attacker hijacks a session but do not alter anything. They just sit back and watch or record all the traﬃc and data being sent forth. a.Network session hijacking b.Active session hijacking c. Social-networking session hijacking d.Passive session hijacking Your answer is incorrect. What action does a DHCPv4 client take if it receives more than one DHCPOFFER from multiple DHCP servers? a.It discards both oﬀers and sends a new DHCPDISCOVER b.It accepts both DHCPOFFER messages and sends a DHCPACK c. It sends a DHCPREQUEST that identiﬁes which lease oﬀer the client is accepting. d.It sends a DHCPNAK and begins the DHCP process over again. Your answer is incorrect. v3 (latest) v2 (latest) What is a characteristic of DNS? a.DNS relies on a hub-and-spoke topology with centralized servers b.All DNS servers
[Source 4 | Week 5 | This week’s webinar | webinar | dist=1.492]
5.13 This week’s webinar To join this week’s webinar or access the recording afterwards, please go to the Forums and webinars section on the module homepage. Make sure to read the responses to questions and forum posts from other students. Here are some questions and problems that you should think through before the webinar. Try to recall the information by yourself first. If you are unsure, you can check the relevant section this week, but first, try to answer these without help. What is a firewall? What are the limitations of a firewall? How many different types of firewalls exist? Can you describe two possible attacks of a packet filter firewall? What is a circuit level gateway? What is the more advanced type of firewall in use today? Why is it used? Can you explain what a DMZ is and why it is useful in networking?
[Source 5 | Week 4 | DNS and DNS cache poisoning | lecture | dist=1.523]
4.7 DNS and DNS cache poisoning Humans access information online through domain names, like nytimes.com or espn.com because we find it easier to remember these names rather than plain IP addresses. However, web browsers interact through Internet Protocol (IP) addresses. The Domain Name System translates domain names to IP addresses so browsers can load internet resources. [Key concept box] The Domain Name System (DNS) is like the phonebook of the internet. Each device connected to the internet has a unique IP address which other machines use to find the device. DNS servers eliminate the need for humans to memorise IP addresses such as 192.168.1.1 (in IPv4), or more complex, newer, alphanumeric IP addresses such as 2400:cb00:2048:1::c629:d7a2 (in IPv6). Historically, this mapping was kept in a local file. However, as the internet keeps evolving, it became necessary to create a system that was scalable. This is the DNS. DNS has a hierarchical structure composed of three servers. [Graphic – full-width] Figure: DNS server hierarchy: root server at the top, branching out into TLD servers, branching out into authoritative servers. Caption: [Card vertical (no image)] Root name server The root server is the first step in translating (resolving) human readable host names into IP addresses. It can be thought of like an index in a library that points to different aisles of bookshelves. Typically, it serves as a reference to other more specific locations. [Card vertical (no image)] TLD name server The top-level domain server (TLD) can be thought of as a specific shelf of books in a library. This name server is the next step in the search for a specific IP address, and it hosts the last portion of a hostname (in google.com, the TLD server is ‘com’). [Card vertical (no image)] Authoritative name server This final name server can be thought of as a dictionary on a shelf of books, in which a specific name can be translated into its definition. The authoritative name server is the last stop in the name server query. If the authoritative name server has access to the requested record, it will return the IP address for the requested hostname back to the DNS recursor (aka the librarian) that made the initial request. You’ll notice that a ‘DNS recursor’ was mentioned above, and compared to the librarian who was asked to go find a particular book in the library scenario. The DNS recursor is a server designed to receive queries from client machines through applications such as web browsers. Typically, the recursor is then responsible for making additional requests in order to satisfy the client’s DNS query. There are two ways to interrogate a DNS server: iteratively or recursively. Iterative approach Let's have a look at how an iterative approach works. DNS queries always start at the root. The root will direct your query to one of its TLD name servers. Then you make a query to the TLD name server, and that name server redirects you to one of the authoritative name servers.</t>
        </is>
      </c>
      <c r="R50" s="25" t="inlineStr">
        <is>
          <t>Low | 1.319</t>
        </is>
      </c>
      <c r="S50" s="25" t="n">
        <v>3</v>
      </c>
    </row>
    <row r="51" ht="57.75" customHeight="1" s="26">
      <c r="A51" s="41" t="n">
        <v>50</v>
      </c>
      <c r="B51" s="42" t="inlineStr">
        <is>
          <t>Week 5</t>
        </is>
      </c>
      <c r="C51" s="34" t="inlineStr">
        <is>
          <t>Hard</t>
        </is>
      </c>
      <c r="D51" s="42" t="inlineStr">
        <is>
          <t>Bastion host</t>
        </is>
      </c>
      <c r="E51" s="42" t="inlineStr">
        <is>
          <t>What is a bastion host and its role in network security?</t>
        </is>
      </c>
      <c r="F51" s="42" t="inlineStr">
        <is>
          <t>Hardened host running proxies; minimal services; high security</t>
        </is>
      </c>
      <c r="G51" s="42" t="inlineStr">
        <is>
          <t>No</t>
        </is>
      </c>
      <c r="H51" s="31" t="inlineStr">
        <is>
          <t>A bastion host is a specially secured host designed to be more resistant to attacks than other hosts on the protected network. Its primary role is to provide a protective barrier between an external, potentially untrusted source of traffic and an internal network. The bastion host typically servers as a platform for an application-level or circuit-level proxy, allowing only essential services to be installed with a restricted set of protocols. It also runs a secure version of the operating system, employs strong user authentication, and maintains detailed audit information by logging all traffic and connections. The purpose of a bastion host is to reduce the risk of attacks by limiting the exposure of internal systems to the external network.
Source material drawn from:
Week 5 Material, Firewall topologies (lectures), specifically Section 5.8 Bastion host and demilitarised zones.</t>
        </is>
      </c>
      <c r="I51" s="31" t="n">
        <v>5</v>
      </c>
      <c r="J51" s="31" t="n">
        <v>5</v>
      </c>
      <c r="K51" s="31" t="n">
        <v>5</v>
      </c>
      <c r="L51" s="31" t="n">
        <v>4</v>
      </c>
      <c r="M51" s="31" t="n">
        <v>29.06</v>
      </c>
      <c r="N51" s="31" t="inlineStr">
        <is>
          <t>Medium</t>
        </is>
      </c>
      <c r="O51" s="31" t="inlineStr">
        <is>
          <t>N</t>
        </is>
      </c>
      <c r="P51" s="31" t="n"/>
      <c r="Q51" s="32" t="inlineStr">
        <is>
          <t>[Source 1 | Week 5 | Firewall topologies | lecture | dist=0.56]
5.8 Firewall topologies 1. Bastion host and demilitarised zones A firewall is positioned to provide a protective barrier between an external, potentially untrusted source of traffic and an internal network. A security administrator must decide on the location and on the number of firewalls needed. Let’s look at different ways of deploying firewalls. Bastion host [Float box (with image-left)] Because an application-level gateway is exposed to greater risk than the hosts it protects, the proxy server normally takes the form of a specially secured host, referred to as a bastion host. A bastion host is specifically designed to be more resistant to attacks than other hosts on the protected network. For instance, a bastion host will run a secure version of the operating system, and may allow only essential services to be installed with a restricted set of Telnet, DNS, FTP and SMTP protocols. In addition, a strong user authentication process is employed along with audit facilities that record any intrusion attempts. Bastion hosts may require additional authentication before a user is allowed access to proxy services. Each proxy may require its own authentication before granting user access. The proxies are usually configured to support only a subset of the standard application’s command set and to allow access only to specific host systems. They maintain detailed audit information by logging all traffic, each connection, and the duration of each connection. These audit logs are essential for discovering and terminating intruder attacks. Alt: A photo of a defensive castle tower Caption: [(Optional) caption text] Each of the proxies is independent of other proxies on the bastion host. They can be uninstalled without affecting the operation of the other proxy applications, and conversely, if the user population requires support for a new service, a network admin can easily install new proxies. They also run as non-privileged users in a private and secured directory on the bastion host. The software packages run on the bastion host are specifically designed for network security and thus they make it easier to check for security flaws. For example, a typical UNIX mail application may contain over 20,000 lines of code, while a mail proxy may contain less than 1,000. Host-based firewalls A host-based firewall is a software module used to secure individual hosts. It is available in many operating systems, or it can be provided as an add-on package. Like conventional stand-alone firewalls, host-resident firewalls filter and restrict the flow of packets. A common location for such firewalls is a server. There are several advantages to the use of a server-based or workstation-based firewalls: We can tailor filtering rules to the host environment. In fact, specific corporate security policies for servers can be implemented, with different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[Source 2 | Week 5 | 5.5.1 Quiz 5  Attempt review   KEATS | quiz | dist=0.768]
Feedback Sorry! You have failed to pass this quiz on this occasion. Please attempt it again Choose all the options that a ﬁrewall can be conﬁgured to control. a.to determine how a particular services can be accessed b.to determine the types of internet services that be accessed c. to determine the direction in which particular service requests may be initiated and allowed to ﬂow through the ﬁrewall d.to determine the location of an Internet server on the network e.to determine which user can be allowed to access a service Your answer is incorrect. The correct answers are: to determine the types of internet services that be accessed, to determine the direction in which particular service requests may be initiated and allowed to ﬂow through the ﬁrewall, to determine which user can be allowed to access a service, to determine how a particular services can be accessed Choose all the statement that are true about bastion host in networks in the context of network security. a.The proxy on a bastion host contains more lines of code to make it securer than typical application the proxy tries to protect. b.A bastion host gives root user privilege to proxy running on the host in a private and security directory. c. A bastion host may provide multiple proxies for multiple applications. d.A bastion host typically servers as a platform for an application-level or circuit-level proxy. e.A bastion host does not support addition authentication before a user is allowed access to proxy service. Your answer is incorrect. The correct answers are: A bastion host typically servers as a platform for an application-level or circuit-level proxy. , A bastion host may provide multiple proxies for multiple applications. A ﬁrewall determines the types of Internet services that can be accessed, inbound or outbound. We call this type of control _________________. a.behaviour control b.movement control c. service control d.user control e.direction controll Your answer is incorrect. The correct answer is: service control An attacker pretended to be a cleaner of a big IT company and left a couple of new USB sticks on the desks of some employees, which contains a virus. One of the employees unintentionally inserted the USB stick on their PCs, causing the whole company's network be infected. Which of the following options can be used to describe this type of attack? a.social engineering b.virus c. human attack d.sneakernet e.malware Your answer is incorrect. The correct answers are: sneakernet, social engineering Which one of the following security services do all network ﬁrewalls provide? a.availability b.access control c. integrity d.authentication e.conﬁdentiality Your answer is incorrect. The correct answer is: access control Choose all the options that apply to the application-level proxy ﬁrewall. a.One single proxy can provides ﬁrewall functions for multiple services b.In general, It is easier to log and audit all incoming traﬃc on an application-level proxy ﬁrewalls than stateful ﬁrewalls. c. An application-level proxy creates one connection with the server only, but not that with the client. d.Application-level proxy ﬁrewalls tend to be more
[Source 3 | Week 5 | Firewall topologies | lecture | dist=0.823]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 organisations. [Card vertical (no image)] Single bastion T Similar to single bastion inline but has a third network interface on bastion to a DMZ where externally visible servers are placed. Typical configuration for small to medium-sized organisations. [Card vertical (no image)] Double bastion inline DMZ is sandwiched between bastion firewalls. Common for large businesses and government organisations. [Card vertical (no image)] Double bastion T DMZ is on a separate network interface on the bastion firewall. Common for large businesses and government organisations – may be required. For example, this configuration is required for Australian government use (Australian Government Information Technology Security Manual – ACSI33). [Card vertical (no image)] Distributed firewall configuration Used by some large businesses and government organisations.
[Source 4 | Week 5 | Firewall topologies | lecture | dist=1.037]
filters for servers used for different applications. Protection is provided independently of topology. Thus, both internal and external attacks must pass through the firewall. Used in conjunction with stand-alone firewalls, a host-based firewall provides an additional layer of protection. A positive aspect is that a new type of server can be added to the network, with its own firewall, without necessarily altering the network firewall configuration. While it is common to base a firewall on a stand-alone machine running a common operating system, such as UNIX or Linux, firewall functionality can also be implemented as a software module in a router or LAN switch. This decision will depend on the context, resources available, expected amount of traffic, etc. Demilitarised zone networks In computer networks, a DMZ (demilitarised zone), is a physical or logical subnet that separates an internal LAN from other untrusted networks, usually the public internet. [Graphic – full-width] Figure: A diagram showing a complex network configuration using a DMZ; see the description for details. Caption: [View description] View description The diagram shows a remote user connecting to the network through the internet. The connection from the internet starts with a boundary router, an external firewall and the first LAN switch. The first LAN switch splits into an internal DMZ network containing web servers, an email server and a DNS server. The first LAN switch also continues through an internal firewall to a second LAN switch which connects to the internal protected network containing application and database servers, and workstations. External-facing servers, resources and services are located in the DMZ. In the diagram, those are the web servers, email server and DNS server. They are therefore accessible from the internet, but the rest of the internal LAN remains unreachable. This provides an additional layer of security to the LAN as it restricts a hacker's ability to directly access internal servers and data through the internet. In the configuration in the picture, there are two firewalls. The external firewall provides a measure of access control and protection for the DMZ systems consistent with their need for external connectivity, and a basic level of protection for the remainder of the network. The internal firewall adds more stringent filtering capability to protect enterprise servers and workstations from external attack. It provides a two-way protection with respect to DMZ: It protects the remainder of the network from attacks launched from DMZ systems. Such attacks might originate from worms, rootkits, bots or other malware lodged in a DMZ system. It protects DMZ systems from attacks from the internal network. [new page] 2. Virtual private networks and distributed firewalls Virtual private networks (VPNs) consist of a set of computers that are interconnected by means of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[Source 5 | Week 5 | Firewall topologies | lecture | dist=1.104]
a relatively insecure network and make use of encryption and special protocols to provide security. They use encryption and authentication in the lower protocol layers to provide a secure connection through an otherwise insecure network, typically the internet. Encryption may be performed by firewall software or by routers. The most common protocol mechanism used for this purpose is at the IP level and is known as IPsec. [Graphic – full-width] Figure: A diagram showing computers connecting on a network using IPSec; see description for details. Caption: [View description] View description A user system with IPSec sends information over a public and private network. The information contains an IP header, IPSec header and a secure IP payload. The information is sent to two systems, both with firewalls with IPSec. The IPSec header is removed from the information sent and it continues to Ethernet switches which distribute the information to computers and servers. Distributed firewalls A distributed firewall configuration involves stand-alone firewall devices and host-based firewalls working together under a central administrative control. Admins can configure the host-resident firewalls on hundreds of servers and workstations, as well as personal firewalls on local and remote user systems. These firewalls protect against internal attacks and provide protection tailored to specific machines and applications. [Graphic – full-width] Figure: A diagram showing a complex network configuration with multiple firewalls; see description for details. Caption: [View description] View description The diagram shows a remote user connecting to the network through the internet. The connection from the internet starts with a boundary router, which firstly splits traffic into an external DMZ network containing the web servers. The connection from the boundary router also continues to an external firewall and the first LAN switch. The first LAN switch splits into an internal DMZ network containing more web servers, an email server and a DNS server. The first LAN switch also continues through an internal firewall to a second LAN switch which connects to the internal protected network containing application and database servers, and workstations. All devices on the network also have individual host-resident firewalls. With distributed firewalls, it makes sense to have both an internal and an external DMZ. Web servers, which typically have less critical information on them and therefore need less protection, are placed in an external DMZ, outside the external firewall. Their protection is provided by host-based firewalls. An important aspect of this configuration is security monitoring which includes log aggregation and analysis, firewall statistics and fine-grained remote monitoring of individual hosts. [Card vertical (no image)] Host-resident firewall Includes personal firewall software and firewall software on servers. Can be used alone or as part of an in-depth firewall deployment. [Card vertical (no image)] Screening router A single router between internal and external networks with stateless or full packet filtering. Typical for small office/home office applications. [Card vertical (no image)] Single bastion inline A single firewall device between an internal and external router. Firewall may implement stateful filters and/or application proxies. Typical configuration for small to medium-sized</t>
        </is>
      </c>
      <c r="R51" s="25" t="inlineStr">
        <is>
          <t>Medium | 0.859</t>
        </is>
      </c>
      <c r="S51" s="25"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24" customWidth="1" style="25" min="1" max="1"/>
    <col width="30" customWidth="1" style="25" min="2" max="2"/>
    <col width="42" customWidth="1" style="25" min="3" max="3"/>
    <col width="80" customWidth="1" style="25" min="4" max="4"/>
  </cols>
  <sheetData>
    <row r="1" ht="15" customHeight="1" s="26">
      <c r="A1" s="27" t="inlineStr">
        <is>
          <t>Metric</t>
        </is>
      </c>
      <c r="B1" s="27" t="inlineStr">
        <is>
          <t>Source</t>
        </is>
      </c>
      <c r="C1" s="27" t="inlineStr">
        <is>
          <t>What it measures</t>
        </is>
      </c>
      <c r="D1" s="27" t="inlineStr">
        <is>
          <t>1-5 Scoring guide</t>
        </is>
      </c>
    </row>
    <row r="2" ht="75" customHeight="1" s="26">
      <c r="A2" s="43" t="inlineStr">
        <is>
          <t>M1: Answer Correctness</t>
        </is>
      </c>
      <c r="B2" s="44" t="inlineStr">
        <is>
          <t>Zheng et al. (2023) — LLM-as-judge</t>
        </is>
      </c>
      <c r="C2" s="44" t="inlineStr">
        <is>
          <t>Is the answer factually correct vs the gold 'must include' concepts?</t>
        </is>
      </c>
      <c r="D2" s="44" t="inlineStr">
        <is>
          <t>5 = all key concepts correct, no errors  |  4 = all correct, minor omission  |  3 = core correct, missing a major point  |  2 = largely incorrect  |  1 = wrong</t>
        </is>
      </c>
    </row>
    <row r="3" ht="75" customHeight="1" s="26">
      <c r="A3" s="43" t="inlineStr">
        <is>
          <t>M2: Faithfulness</t>
        </is>
      </c>
      <c r="B3" s="44" t="inlineStr">
        <is>
          <t>RAGAS (Es et al., 2024)</t>
        </is>
      </c>
      <c r="C3" s="44" t="inlineStr">
        <is>
          <t>Are the answer's claims supported by the retrieved chunks (not outside knowledge)?</t>
        </is>
      </c>
      <c r="D3" s="44" t="inlineStr">
        <is>
          <t>5 = every claim grounded in sources  |  3 = mostly grounded, some drift  |  1 = relies heavily on outside knowledge / hallucination</t>
        </is>
      </c>
    </row>
    <row r="4" ht="75" customHeight="1" s="26">
      <c r="A4" s="43" t="inlineStr">
        <is>
          <t>M3: Answer Relevance</t>
        </is>
      </c>
      <c r="B4" s="44" t="inlineStr">
        <is>
          <t>RAGAS (Es et al., 2024)</t>
        </is>
      </c>
      <c r="C4" s="44" t="inlineStr">
        <is>
          <t>Does the answer directly address the question (no padding/incompleteness)?</t>
        </is>
      </c>
      <c r="D4" s="44" t="inlineStr">
        <is>
          <t>5 = fully addresses the question  |  3 = partial or some redundancy  |  1 = off-topic or very incomplete</t>
        </is>
      </c>
    </row>
    <row r="5" ht="75" customHeight="1" s="26">
      <c r="A5" s="43" t="inlineStr">
        <is>
          <t>M4: Context Relevance</t>
        </is>
      </c>
      <c r="B5" s="44" t="inlineStr">
        <is>
          <t>RAGAS (Es et al., 2024)</t>
        </is>
      </c>
      <c r="C5" s="44" t="inlineStr">
        <is>
          <t>Were the retrieved chunks actually relevant to the question?</t>
        </is>
      </c>
      <c r="D5" s="44" t="inlineStr">
        <is>
          <t>5 = all 5 chunks relevant &amp; correct week  |  3 = mixed relevance  |  1 = mostly irrelevant / wrong-week chunks</t>
        </is>
      </c>
    </row>
    <row r="6" ht="75" customHeight="1" s="26">
      <c r="A6" s="43" t="inlineStr">
        <is>
          <t>M5: Latency</t>
        </is>
      </c>
      <c r="B6" s="44" t="inlineStr">
        <is>
          <t>Supervisor request</t>
        </is>
      </c>
      <c r="C6" s="44" t="inlineStr">
        <is>
          <t>Wall-clock response time in seconds (shown in the app).</t>
        </is>
      </c>
      <c r="D6" s="44" t="inlineStr">
        <is>
          <t>Record the number directly — no scoring. Report mean/median across all 50.</t>
        </is>
      </c>
    </row>
    <row r="8" ht="60" customHeight="1" s="26">
      <c r="A8" s="45" t="inlineStr">
        <is>
          <t>NOTE: M1 is scored against your gold 'must include' column. M2-M4 follow the RAGAS definitions but are scored manually on a 1-5 scale here (rather than via the RAGAS library) to keep the evaluation reproducible without extra API dependencies. This manual adaptation is stated in the methodology and cited to RAGAS. M4 can use the retrieved-source list + distances already shown in the app.</t>
        </is>
      </c>
    </row>
  </sheetData>
  <mergeCells count="1">
    <mergeCell ref="A8:D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6" customWidth="1" style="25" min="1" max="1"/>
    <col width="48" customWidth="1" style="25" min="2" max="2"/>
    <col width="16" customWidth="1" style="25" min="3" max="3"/>
  </cols>
  <sheetData>
    <row r="1" ht="15" customHeight="1" s="26">
      <c r="A1" s="27" t="inlineStr">
        <is>
          <t>Metric</t>
        </is>
      </c>
      <c r="B1" s="27" t="inlineStr">
        <is>
          <t>How to calculate</t>
        </is>
      </c>
      <c r="C1" s="27" t="inlineStr">
        <is>
          <t>Result</t>
        </is>
      </c>
    </row>
    <row r="2" ht="15" customHeight="1" s="26">
      <c r="A2" s="46" t="inlineStr">
        <is>
          <t>OVERALL SCORES</t>
        </is>
      </c>
      <c r="B2" s="47" t="n"/>
      <c r="C2" s="48" t="n"/>
    </row>
    <row r="3" ht="15" customHeight="1" s="26">
      <c r="A3" s="49" t="inlineStr">
        <is>
          <t>Mean M1 Correctness</t>
        </is>
      </c>
      <c r="B3" s="47" t="inlineStr">
        <is>
          <t>Average column I</t>
        </is>
      </c>
      <c r="C3" s="48">
        <f>IFERROR(AVERAGE('Gold Set'!I2:I51),"")</f>
        <v/>
      </c>
    </row>
    <row r="4" ht="15" customHeight="1" s="26">
      <c r="A4" s="49" t="inlineStr">
        <is>
          <t>Mean M2 Faithfulness</t>
        </is>
      </c>
      <c r="B4" s="47" t="inlineStr">
        <is>
          <t>Average column J</t>
        </is>
      </c>
      <c r="C4" s="48">
        <f>IFERROR(AVERAGE('Gold Set'!J2:J51),"")</f>
        <v/>
      </c>
    </row>
    <row r="5" ht="15" customHeight="1" s="26">
      <c r="A5" s="49" t="inlineStr">
        <is>
          <t>Mean M3 Answer Relevance</t>
        </is>
      </c>
      <c r="B5" s="47" t="inlineStr">
        <is>
          <t>Average column K</t>
        </is>
      </c>
      <c r="C5" s="48">
        <f>IFERROR(AVERAGE('Gold Set'!K2:K51),"")</f>
        <v/>
      </c>
    </row>
    <row r="6" ht="15" customHeight="1" s="26">
      <c r="A6" s="49" t="inlineStr">
        <is>
          <t>Mean M4 Context Relevance</t>
        </is>
      </c>
      <c r="B6" s="47" t="inlineStr">
        <is>
          <t>Average column L</t>
        </is>
      </c>
      <c r="C6" s="48">
        <f>IFERROR(AVERAGE('Gold Set'!L2:L51),"")</f>
        <v/>
      </c>
    </row>
    <row r="7" ht="15" customHeight="1" s="26">
      <c r="A7" s="49" t="inlineStr">
        <is>
          <t>Mean M5 Latency (s)</t>
        </is>
      </c>
      <c r="B7" s="47" t="inlineStr">
        <is>
          <t>Average column M</t>
        </is>
      </c>
      <c r="C7" s="48">
        <f>IFERROR(AVERAGE('Gold Set'!M2:M51),"")</f>
        <v/>
      </c>
    </row>
    <row r="8" ht="15" customHeight="1" s="26">
      <c r="A8" s="49" t="inlineStr">
        <is>
          <t>Median M5 Latency (s)</t>
        </is>
      </c>
      <c r="B8" s="47" t="inlineStr">
        <is>
          <t>Median column M</t>
        </is>
      </c>
      <c r="C8" s="48">
        <f>IFERROR(MEDIAN('Gold Set'!M2:M51),"")</f>
        <v/>
      </c>
    </row>
    <row r="9" ht="15" customHeight="1" s="26">
      <c r="A9" s="49" t="n"/>
      <c r="B9" s="47" t="n"/>
      <c r="C9" s="48" t="n"/>
    </row>
    <row r="10" ht="15" customHeight="1" s="26">
      <c r="A10" s="49" t="inlineStr">
        <is>
          <t>BY DIFFICULTY (mean M1 Correctness)</t>
        </is>
      </c>
      <c r="B10" s="47" t="n"/>
      <c r="C10" s="48" t="n"/>
    </row>
    <row r="11" ht="15" customHeight="1" s="26">
      <c r="A11" s="49" t="inlineStr">
        <is>
          <t>Easy questions</t>
        </is>
      </c>
      <c r="B11" s="47" t="inlineStr">
        <is>
          <t>Avg M1 where Difficulty=Easy</t>
        </is>
      </c>
      <c r="C11" s="48">
        <f>IFERROR(AVERAGEIF('Gold Set'!C2:C51,"Easy",'Gold Set'!I2:I51),"")</f>
        <v/>
      </c>
    </row>
    <row r="12" ht="15" customHeight="1" s="26">
      <c r="A12" s="49" t="inlineStr">
        <is>
          <t>Medium questions</t>
        </is>
      </c>
      <c r="B12" s="47" t="inlineStr">
        <is>
          <t>Avg M1 where Difficulty=Medium</t>
        </is>
      </c>
      <c r="C12" s="48">
        <f>IFERROR(AVERAGEIF('Gold Set'!C2:C51,"Medium",'Gold Set'!I2:I51),"")</f>
        <v/>
      </c>
    </row>
    <row r="13" ht="15" customHeight="1" s="26">
      <c r="A13" s="49" t="inlineStr">
        <is>
          <t>Hard questions</t>
        </is>
      </c>
      <c r="B13" s="47" t="inlineStr">
        <is>
          <t>Avg M1 where Difficulty=Hard</t>
        </is>
      </c>
      <c r="C13" s="48">
        <f>IFERROR(AVERAGEIF('Gold Set'!C2:C51,"Hard",'Gold Set'!I2:I51),"")</f>
        <v/>
      </c>
    </row>
    <row r="14" ht="15" customHeight="1" s="26">
      <c r="A14" s="49" t="n"/>
      <c r="B14" s="47" t="n"/>
      <c r="C14" s="48" t="n"/>
    </row>
    <row r="15" ht="15" customHeight="1" s="26">
      <c r="A15" s="49" t="inlineStr">
        <is>
          <t>BY WEEK (mean M1 Correctness)</t>
        </is>
      </c>
      <c r="B15" s="47" t="n"/>
      <c r="C15" s="48" t="n"/>
    </row>
    <row r="16" ht="15" customHeight="1" s="26">
      <c r="A16" s="49" t="inlineStr">
        <is>
          <t>Week 1</t>
        </is>
      </c>
      <c r="B16" s="47" t="inlineStr">
        <is>
          <t>Avg M1 where Week=1</t>
        </is>
      </c>
      <c r="C16" s="48">
        <f>IFERROR(AVERAGEIF('Gold Set'!B2:B51,"Week 1",'Gold Set'!I2:I51),"")</f>
        <v/>
      </c>
    </row>
    <row r="17" ht="15" customHeight="1" s="26">
      <c r="A17" s="49" t="inlineStr">
        <is>
          <t>Week 2</t>
        </is>
      </c>
      <c r="B17" s="47" t="inlineStr">
        <is>
          <t>Avg M1 where Week=2</t>
        </is>
      </c>
      <c r="C17" s="48">
        <f>IFERROR(AVERAGEIF('Gold Set'!B2:B51,"Week 2",'Gold Set'!I2:I51),"")</f>
        <v/>
      </c>
    </row>
    <row r="18" ht="15" customHeight="1" s="26">
      <c r="A18" s="49" t="inlineStr">
        <is>
          <t>Week 3</t>
        </is>
      </c>
      <c r="B18" s="47" t="inlineStr">
        <is>
          <t>Avg M1 where Week=3</t>
        </is>
      </c>
      <c r="C18" s="48">
        <f>IFERROR(AVERAGEIF('Gold Set'!B2:B51,"Week 3",'Gold Set'!I2:I51),"")</f>
        <v/>
      </c>
    </row>
    <row r="19" ht="15" customHeight="1" s="26">
      <c r="A19" s="49" t="inlineStr">
        <is>
          <t>Week 4</t>
        </is>
      </c>
      <c r="B19" s="47" t="inlineStr">
        <is>
          <t>Avg M1 where Week=4</t>
        </is>
      </c>
      <c r="C19" s="48">
        <f>IFERROR(AVERAGEIF('Gold Set'!B2:B51,"Week 4",'Gold Set'!I2:I51),"")</f>
        <v/>
      </c>
    </row>
    <row r="20" ht="15" customHeight="1" s="26">
      <c r="A20" s="49" t="inlineStr">
        <is>
          <t>Week 5</t>
        </is>
      </c>
      <c r="B20" s="47" t="inlineStr">
        <is>
          <t>Avg M1 where Week=5</t>
        </is>
      </c>
      <c r="C20" s="48">
        <f>IFERROR(AVERAGEIF('Gold Set'!B2:B51,"Week 5",'Gold Set'!I2:I51),"")</f>
        <v/>
      </c>
    </row>
    <row r="21" ht="15" customHeight="1" s="26">
      <c r="A21" s="49" t="n"/>
      <c r="B21" s="47" t="n"/>
      <c r="C21" s="48" t="n"/>
    </row>
    <row r="22" ht="15" customHeight="1" s="26">
      <c r="A22" s="46" t="inlineStr">
        <is>
          <t>CONFIDENCE CALIBRATION</t>
        </is>
      </c>
      <c r="B22" s="47" t="n"/>
      <c r="C22" s="48" t="n"/>
    </row>
    <row r="23" ht="15" customHeight="1" s="26">
      <c r="A23" s="49" t="inlineStr">
        <is>
          <t>Mean M1 where Confidence=High</t>
        </is>
      </c>
      <c r="B23" s="47" t="inlineStr">
        <is>
          <t>Avg M1 for High-band answers</t>
        </is>
      </c>
      <c r="C23" s="48">
        <f>IFERROR(AVERAGEIF('Gold Set'!N2:N51,"High",'Gold Set'!I2:I51),"")</f>
        <v/>
      </c>
    </row>
    <row r="24" ht="15" customHeight="1" s="26">
      <c r="A24" s="49" t="inlineStr">
        <is>
          <t>Mean M1 where Confidence=Medium</t>
        </is>
      </c>
      <c r="B24" s="47" t="inlineStr">
        <is>
          <t>Avg M1 for Medium-band answers</t>
        </is>
      </c>
      <c r="C24" s="48">
        <f>IFERROR(AVERAGEIF('Gold Set'!N2:N51,"Medium",'Gold Set'!I2:I51),"")</f>
        <v/>
      </c>
    </row>
    <row r="25" ht="15" customHeight="1" s="26">
      <c r="A25" s="49" t="inlineStr">
        <is>
          <t>Mean M1 where Confidence=Low</t>
        </is>
      </c>
      <c r="B25" s="47" t="inlineStr">
        <is>
          <t>Avg M1 for Low-band answers</t>
        </is>
      </c>
      <c r="C25" s="48">
        <f>IFERROR(AVERAGEIF('Gold Set'!N2:N51,"Low",'Gold Set'!I2:I51),"")</f>
        <v/>
      </c>
    </row>
    <row r="26" ht="15" customHeight="1" s="26">
      <c r="A26" s="49" t="inlineStr">
        <is>
          <t>Calibration holds?</t>
        </is>
      </c>
      <c r="B26" s="47" t="inlineStr">
        <is>
          <t>High &gt; Medium &gt; Low mean correctness = well calibrated</t>
        </is>
      </c>
      <c r="C26" s="48">
        <f>IF(OR(C23="",C24="",C25=""),"",IF(AND(C23&gt;=C24,C24&gt;=C25),"Yes - calibrated","No - check"))</f>
        <v/>
      </c>
    </row>
    <row r="27" ht="15" customHeight="1" s="26">
      <c r="A27" s="49" t="n"/>
      <c r="B27" s="47" t="n"/>
      <c r="C27" s="48" t="n"/>
    </row>
    <row r="28" ht="15" customHeight="1" s="26">
      <c r="A28" s="46" t="inlineStr">
        <is>
          <t>PREREQUISITE TRIGGER</t>
        </is>
      </c>
      <c r="B28" s="47" t="n"/>
      <c r="C28" s="48" t="n"/>
    </row>
    <row r="29" ht="15" customHeight="1" s="26">
      <c r="A29" s="49" t="inlineStr">
        <is>
          <t>Should fire (from gold)</t>
        </is>
      </c>
      <c r="B29" s="47" t="inlineStr">
        <is>
          <t>Count 'Yes*' in column G</t>
        </is>
      </c>
      <c r="C29" s="48">
        <f>COUNTIF('Gold Set'!G2:G51,"Yes*")</f>
        <v/>
      </c>
    </row>
    <row r="30" ht="15" customHeight="1" s="26">
      <c r="A30" s="49" t="inlineStr">
        <is>
          <t>Actually fired</t>
        </is>
      </c>
      <c r="B30" s="47" t="inlineStr">
        <is>
          <t>Count 'Y' in column O</t>
        </is>
      </c>
      <c r="C30" s="48">
        <f>COUNTIF('Gold Set'!O2:O51,"Y")</f>
        <v/>
      </c>
    </row>
    <row r="31" ht="15" customHeight="1" s="26">
      <c r="A31" s="49" t="inlineStr">
        <is>
          <t>Correct triggers</t>
        </is>
      </c>
      <c r="B31" s="47" t="inlineStr">
        <is>
          <t>Fired AND should fire</t>
        </is>
      </c>
      <c r="C31" s="48">
        <f>SUMPRODUCT((LEFT('Gold Set'!G2:G51,3)="Yes")*('Gold Set'!O2:O51="Y"))</f>
        <v/>
      </c>
    </row>
    <row r="32" ht="15" customHeight="1" s="26">
      <c r="A32" s="49" t="inlineStr">
        <is>
          <t>Missed (false negative)</t>
        </is>
      </c>
      <c r="B32" s="47" t="inlineStr">
        <is>
          <t>Should fire but didn't</t>
        </is>
      </c>
      <c r="C32" s="48">
        <f>SUMPRODUCT((LEFT('Gold Set'!G2:G51,3)="Yes")*('Gold Set'!O2:O51&lt;&gt;"Y"))</f>
        <v/>
      </c>
    </row>
    <row r="33" ht="15" customHeight="1" s="26">
      <c r="A33" s="49" t="inlineStr">
        <is>
          <t>False triggers (false positive)</t>
        </is>
      </c>
      <c r="B33" s="47" t="inlineStr">
        <is>
          <t>Fired but shouldn't</t>
        </is>
      </c>
      <c r="C33" s="48">
        <f>SUMPRODUCT((LEFT('Gold Set'!G2:G51,3)&lt;&gt;"Yes")*('Gold Set'!O2:O51="Y"))</f>
        <v/>
      </c>
    </row>
    <row r="34" ht="15" customHeight="1" s="26">
      <c r="A34" s="49" t="inlineStr">
        <is>
          <t>Trigger precision</t>
        </is>
      </c>
      <c r="B34" s="47" t="inlineStr">
        <is>
          <t>Correct / Actually fired</t>
        </is>
      </c>
      <c r="C34" s="48">
        <f>IFERROR(C31/C30,"")</f>
        <v/>
      </c>
    </row>
    <row r="35" ht="15" customHeight="1" s="26">
      <c r="A35" s="49" t="inlineStr">
        <is>
          <t>Trigger recall</t>
        </is>
      </c>
      <c r="B35" s="47" t="inlineStr">
        <is>
          <t>Correct / Should fire</t>
        </is>
      </c>
      <c r="C35" s="48">
        <f>IFERROR(C31/C29,"")</f>
        <v/>
      </c>
    </row>
    <row r="37">
      <c r="A37" t="inlineStr">
        <is>
          <t>CALIBRATION AGAINST FAITHFULNESS (M2)</t>
        </is>
      </c>
    </row>
    <row r="38">
      <c r="A38" t="inlineStr">
        <is>
          <t>Mean M2 where Confidence=High</t>
        </is>
      </c>
      <c r="B38" t="inlineStr">
        <is>
          <t>Avg M2 for High-band answers</t>
        </is>
      </c>
      <c r="C38">
        <f>IFERROR(AVERAGEIF('Gold Set'!N2:N51,"High",'Gold Set'!J2:J51),"")</f>
        <v/>
      </c>
    </row>
    <row r="39">
      <c r="A39" t="inlineStr">
        <is>
          <t>Mean M2 where Confidence=Medium</t>
        </is>
      </c>
      <c r="B39" t="inlineStr">
        <is>
          <t>Avg M2 for Medium-band answers</t>
        </is>
      </c>
      <c r="C39">
        <f>IFERROR(AVERAGEIF('Gold Set'!N2:N51,"Medium",'Gold Set'!J2:J51),"")</f>
        <v/>
      </c>
    </row>
    <row r="40">
      <c r="A40" t="inlineStr">
        <is>
          <t>Mean M2 where Confidence=Low</t>
        </is>
      </c>
      <c r="B40" t="inlineStr">
        <is>
          <t>Avg M2 for Low-band answers</t>
        </is>
      </c>
      <c r="C40">
        <f>IFERROR(AVERAGEIF('Gold Set'!N2:N51,"Low",'Gold Set'!J2:J51),"")</f>
        <v/>
      </c>
    </row>
    <row r="41">
      <c r="A41" t="inlineStr">
        <is>
          <t>Faithfulness calibration holds?</t>
        </is>
      </c>
      <c r="B41" t="inlineStr">
        <is>
          <t>High &gt; Medium &gt; Low mean faithfulness = band tracks groundedness</t>
        </is>
      </c>
      <c r="C41">
        <f>IF(OR(C38="",C39="",C40=""),"",IF(AND(C38&gt;=C39,C39&gt;=C40),"Yes - calibrated","No - check"))</f>
        <v/>
      </c>
    </row>
    <row r="43">
      <c r="A43" t="inlineStr">
        <is>
          <t>BAND DISTRIBUTION</t>
        </is>
      </c>
    </row>
    <row r="44">
      <c r="A44" t="inlineStr">
        <is>
          <t>Answers in High band</t>
        </is>
      </c>
      <c r="B44" t="inlineStr">
        <is>
          <t>Count 'High' in column N</t>
        </is>
      </c>
      <c r="C44">
        <f>COUNTIF('Gold Set'!N2:N51,"High")</f>
        <v/>
      </c>
    </row>
    <row r="45">
      <c r="A45" t="inlineStr">
        <is>
          <t>Answers in Medium band</t>
        </is>
      </c>
      <c r="B45" t="inlineStr">
        <is>
          <t>Count 'Medium' in column N</t>
        </is>
      </c>
      <c r="C45">
        <f>COUNTIF('Gold Set'!N2:N51,"Medium")</f>
        <v/>
      </c>
    </row>
    <row r="46">
      <c r="A46" t="inlineStr">
        <is>
          <t>Answers in Low band</t>
        </is>
      </c>
      <c r="B46" t="inlineStr">
        <is>
          <t>Count 'Low' in column N</t>
        </is>
      </c>
      <c r="C46">
        <f>COUNTIF('Gold Set'!N2:N51,"Low")</f>
        <v/>
      </c>
    </row>
    <row r="48">
      <c r="A48" t="inlineStr">
        <is>
          <t>RETRIEVAL QUALITY</t>
        </is>
      </c>
    </row>
    <row r="49">
      <c r="A49" t="inlineStr">
        <is>
          <t>Questions with M4 &lt;= 2 (poor retrieval)</t>
        </is>
      </c>
      <c r="B49" t="inlineStr">
        <is>
          <t>Count M4 of 1 or 2 in column L</t>
        </is>
      </c>
      <c r="C49">
        <f>COUNTIF('Gold Set'!L2:L51,"&lt;=2")</f>
        <v/>
      </c>
    </row>
    <row r="50">
      <c r="A50" t="inlineStr">
        <is>
          <t>Mean M1 where M4 &lt;= 2</t>
        </is>
      </c>
      <c r="B50" t="inlineStr">
        <is>
          <t>Correctness when retrieval was poor</t>
        </is>
      </c>
      <c r="C50">
        <f>IFERROR(AVERAGEIF('Gold Set'!L2:L51,"&lt;=2",'Gold Set'!I2:I51),"")</f>
        <v/>
      </c>
    </row>
    <row r="51">
      <c r="A51" t="inlineStr">
        <is>
          <t>Mean M2 where M4 &lt;= 2</t>
        </is>
      </c>
      <c r="B51" t="inlineStr">
        <is>
          <t>Faithfulness when retrieval was poor</t>
        </is>
      </c>
      <c r="C51">
        <f>IFERROR(AVERAGEIF('Gold Set'!L2:L51,"&lt;=2",'Gold Set'!J2:J51),"")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2026-07-13T13:38:31Z</dcterms:created>
  <dcterms:modified xmlns:dcterms="http://purl.org/dc/terms/" xmlns:xsi="http://www.w3.org/2001/XMLSchema-instance" xsi:type="dcterms:W3CDTF">2026-07-29T18:09:08Z</dcterms:modified>
  <cp:lastModifiedBy>Jannat Faisal</cp:lastModifiedBy>
  <cp:revision>0</cp:revision>
</cp:coreProperties>
</file>